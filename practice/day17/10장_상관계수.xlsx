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AI Equipment Failure Prediction\practice\day17\"/>
    </mc:Choice>
  </mc:AlternateContent>
  <xr:revisionPtr revIDLastSave="0" documentId="8_{BD1C57A1-A5F5-40FE-B36E-2FD59C916BB2}" xr6:coauthVersionLast="47" xr6:coauthVersionMax="47" xr10:uidLastSave="{00000000-0000-0000-0000-000000000000}"/>
  <bookViews>
    <workbookView xWindow="1770" yWindow="660" windowWidth="22950" windowHeight="15480" activeTab="1" xr2:uid="{00000000-000D-0000-FFFF-FFFF00000000}"/>
  </bookViews>
  <sheets>
    <sheet name="광고비와 매출액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2" l="1"/>
  <c r="N19" i="2"/>
  <c r="L20" i="2"/>
  <c r="L19" i="2"/>
  <c r="F20" i="2"/>
  <c r="F19" i="2"/>
  <c r="J12" i="2"/>
  <c r="L9" i="2"/>
  <c r="J9" i="2"/>
  <c r="J8" i="2"/>
  <c r="F1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I49" i="2"/>
  <c r="B20" i="2"/>
  <c r="C20" i="2"/>
  <c r="A24" i="2"/>
</calcChain>
</file>

<file path=xl/sharedStrings.xml><?xml version="1.0" encoding="utf-8"?>
<sst xmlns="http://schemas.openxmlformats.org/spreadsheetml/2006/main" count="31" uniqueCount="24">
  <si>
    <t>연도</t>
    <phoneticPr fontId="1" type="noConversion"/>
  </si>
  <si>
    <t>광고비</t>
    <phoneticPr fontId="1" type="noConversion"/>
  </si>
  <si>
    <t>매출액</t>
    <phoneticPr fontId="1" type="noConversion"/>
  </si>
  <si>
    <t>avg</t>
    <phoneticPr fontId="1" type="noConversion"/>
  </si>
  <si>
    <t>1.공분산</t>
    <phoneticPr fontId="1" type="noConversion"/>
  </si>
  <si>
    <t>원인이되는변수 찾기</t>
    <phoneticPr fontId="1" type="noConversion"/>
  </si>
  <si>
    <t>광고바</t>
    <phoneticPr fontId="1" type="noConversion"/>
  </si>
  <si>
    <t>x</t>
    <phoneticPr fontId="1" type="noConversion"/>
  </si>
  <si>
    <t>y</t>
    <phoneticPr fontId="1" type="noConversion"/>
  </si>
  <si>
    <t>평균</t>
    <phoneticPr fontId="1" type="noConversion"/>
  </si>
  <si>
    <t>편차</t>
    <phoneticPr fontId="1" type="noConversion"/>
  </si>
  <si>
    <t>상관계수(correlation coefficient)구하기순서</t>
    <phoneticPr fontId="1" type="noConversion"/>
  </si>
  <si>
    <t>매출액편차</t>
    <phoneticPr fontId="1" type="noConversion"/>
  </si>
  <si>
    <t>광고비편차</t>
    <phoneticPr fontId="1" type="noConversion"/>
  </si>
  <si>
    <t>각 항목의 편차곱</t>
    <phoneticPr fontId="1" type="noConversion"/>
  </si>
  <si>
    <t>합계</t>
    <phoneticPr fontId="1" type="noConversion"/>
  </si>
  <si>
    <t>공분산</t>
    <phoneticPr fontId="1" type="noConversion"/>
  </si>
  <si>
    <t>각항목의 편차를 곱 구한후 합하고 개수로 나눈것이 공분산(cov)</t>
    <phoneticPr fontId="1" type="noConversion"/>
  </si>
  <si>
    <t>x의표준편차</t>
    <phoneticPr fontId="1" type="noConversion"/>
  </si>
  <si>
    <t xml:space="preserve">* </t>
    <phoneticPr fontId="1" type="noConversion"/>
  </si>
  <si>
    <t>y의 표준편차</t>
    <phoneticPr fontId="1" type="noConversion"/>
  </si>
  <si>
    <t xml:space="preserve">공분산 </t>
    <phoneticPr fontId="1" type="noConversion"/>
  </si>
  <si>
    <t>광고비표춘편차</t>
    <phoneticPr fontId="1" type="noConversion"/>
  </si>
  <si>
    <t xml:space="preserve">매출액표준편차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</si>
</sst>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매출액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Sheet1!$B$2:$B$16</c:f>
              <c:numCache>
                <c:formatCode>General</c:formatCode>
                <c:ptCount val="15"/>
                <c:pt idx="0">
                  <c:v>13</c:v>
                </c:pt>
                <c:pt idx="1">
                  <c:v>8</c:v>
                </c:pt>
                <c:pt idx="2">
                  <c:v>10</c:v>
                </c:pt>
                <c:pt idx="3">
                  <c:v>15</c:v>
                </c:pt>
                <c:pt idx="4">
                  <c:v>12</c:v>
                </c:pt>
                <c:pt idx="5">
                  <c:v>15</c:v>
                </c:pt>
                <c:pt idx="6">
                  <c:v>14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21</c:v>
                </c:pt>
                <c:pt idx="14">
                  <c:v>25</c:v>
                </c:pt>
              </c:numCache>
            </c:numRef>
          </c:xVal>
          <c:yVal>
            <c:numRef>
              <c:f>Sheet1!$D$2:$D$16</c:f>
              <c:numCache>
                <c:formatCode>General</c:formatCode>
                <c:ptCount val="15"/>
                <c:pt idx="0">
                  <c:v>94</c:v>
                </c:pt>
                <c:pt idx="1">
                  <c:v>70</c:v>
                </c:pt>
                <c:pt idx="2">
                  <c:v>90</c:v>
                </c:pt>
                <c:pt idx="3">
                  <c:v>100</c:v>
                </c:pt>
                <c:pt idx="4">
                  <c:v>95</c:v>
                </c:pt>
                <c:pt idx="5">
                  <c:v>100</c:v>
                </c:pt>
                <c:pt idx="6">
                  <c:v>85</c:v>
                </c:pt>
                <c:pt idx="7">
                  <c:v>95</c:v>
                </c:pt>
                <c:pt idx="8">
                  <c:v>105</c:v>
                </c:pt>
                <c:pt idx="9">
                  <c:v>105</c:v>
                </c:pt>
                <c:pt idx="10">
                  <c:v>110</c:v>
                </c:pt>
                <c:pt idx="11">
                  <c:v>105</c:v>
                </c:pt>
                <c:pt idx="12">
                  <c:v>104</c:v>
                </c:pt>
                <c:pt idx="13">
                  <c:v>105</c:v>
                </c:pt>
                <c:pt idx="14">
                  <c:v>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F-4EDF-976C-02582BF4F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944704"/>
        <c:axId val="1859730704"/>
      </c:scatterChart>
      <c:valAx>
        <c:axId val="185994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9730704"/>
        <c:crosses val="autoZero"/>
        <c:crossBetween val="midCat"/>
      </c:valAx>
      <c:valAx>
        <c:axId val="18597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994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271462</xdr:colOff>
      <xdr:row>21</xdr:row>
      <xdr:rowOff>119062</xdr:rowOff>
    </xdr:from>
    <xdr:to>
      <xdr:col>8</xdr:col>
      <xdr:colOff>42862</xdr:colOff>
      <xdr:row>34</xdr:row>
      <xdr:rowOff>138112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1609952-64ED-3B8B-99F1-F56F84680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7"/>
  <sheetViews>
    <sheetView zoomScale="130" zoomScaleNormal="130" workbookViewId="0">
      <selection activeCell="E18" sqref="B2:E18"/>
    </sheetView>
  </sheetViews>
  <sheetFormatPr defaultRowHeight="16.5" x14ac:dyDescent="0.3"/>
  <cols>
    <col min="2" max="11" width="9" style="2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1">
        <v>2006</v>
      </c>
      <c r="C3" s="1">
        <v>13</v>
      </c>
      <c r="D3" s="1">
        <v>94</v>
      </c>
    </row>
    <row r="4" spans="2:4" x14ac:dyDescent="0.3">
      <c r="B4" s="1">
        <v>2007</v>
      </c>
      <c r="C4" s="1">
        <v>8</v>
      </c>
      <c r="D4" s="1">
        <v>70</v>
      </c>
    </row>
    <row r="5" spans="2:4" x14ac:dyDescent="0.3">
      <c r="B5" s="1">
        <v>2008</v>
      </c>
      <c r="C5" s="1">
        <v>10</v>
      </c>
      <c r="D5" s="1">
        <v>90</v>
      </c>
    </row>
    <row r="6" spans="2:4" x14ac:dyDescent="0.3">
      <c r="B6" s="1">
        <v>2009</v>
      </c>
      <c r="C6" s="1">
        <v>15</v>
      </c>
      <c r="D6" s="1">
        <v>100</v>
      </c>
    </row>
    <row r="7" spans="2:4" x14ac:dyDescent="0.3">
      <c r="B7" s="1">
        <v>2010</v>
      </c>
      <c r="C7" s="1">
        <v>12</v>
      </c>
      <c r="D7" s="1">
        <v>95</v>
      </c>
    </row>
    <row r="8" spans="2:4" x14ac:dyDescent="0.3">
      <c r="B8" s="1">
        <v>2011</v>
      </c>
      <c r="C8" s="1">
        <v>15</v>
      </c>
      <c r="D8" s="1">
        <v>100</v>
      </c>
    </row>
    <row r="9" spans="2:4" x14ac:dyDescent="0.3">
      <c r="B9" s="1">
        <v>2012</v>
      </c>
      <c r="C9" s="1">
        <v>14</v>
      </c>
      <c r="D9" s="1">
        <v>85</v>
      </c>
    </row>
    <row r="10" spans="2:4" x14ac:dyDescent="0.3">
      <c r="B10" s="1">
        <v>2013</v>
      </c>
      <c r="C10" s="1">
        <v>15</v>
      </c>
      <c r="D10" s="1">
        <v>95</v>
      </c>
    </row>
    <row r="11" spans="2:4" x14ac:dyDescent="0.3">
      <c r="B11" s="1">
        <v>2014</v>
      </c>
      <c r="C11" s="1">
        <v>17</v>
      </c>
      <c r="D11" s="1">
        <v>105</v>
      </c>
    </row>
    <row r="12" spans="2:4" x14ac:dyDescent="0.3">
      <c r="B12" s="1">
        <v>2015</v>
      </c>
      <c r="C12" s="1">
        <v>19</v>
      </c>
      <c r="D12" s="1">
        <v>105</v>
      </c>
    </row>
    <row r="13" spans="2:4" x14ac:dyDescent="0.3">
      <c r="B13" s="1">
        <v>2016</v>
      </c>
      <c r="C13" s="1">
        <v>20</v>
      </c>
      <c r="D13" s="1">
        <v>110</v>
      </c>
    </row>
    <row r="14" spans="2:4" x14ac:dyDescent="0.3">
      <c r="B14" s="1">
        <v>2017</v>
      </c>
      <c r="C14" s="1">
        <v>21</v>
      </c>
      <c r="D14" s="1">
        <v>105</v>
      </c>
    </row>
    <row r="15" spans="2:4" x14ac:dyDescent="0.3">
      <c r="B15" s="1">
        <v>2018</v>
      </c>
      <c r="C15" s="1">
        <v>22</v>
      </c>
      <c r="D15" s="1">
        <v>104</v>
      </c>
    </row>
    <row r="16" spans="2:4" x14ac:dyDescent="0.3">
      <c r="B16" s="1">
        <v>2019</v>
      </c>
      <c r="C16" s="1">
        <v>21</v>
      </c>
      <c r="D16" s="1">
        <v>105</v>
      </c>
    </row>
    <row r="17" spans="2:4" x14ac:dyDescent="0.3">
      <c r="B17" s="1">
        <v>2020</v>
      </c>
      <c r="C17" s="1">
        <v>25</v>
      </c>
      <c r="D17" s="1">
        <v>121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662B-6ADB-4661-9434-86C38DD84D80}">
  <dimension ref="A1:P53"/>
  <sheetViews>
    <sheetView tabSelected="1" workbookViewId="0">
      <selection activeCell="J25" sqref="J25"/>
    </sheetView>
  </sheetViews>
  <sheetFormatPr defaultRowHeight="16.5" x14ac:dyDescent="0.3"/>
  <cols>
    <col min="1" max="3" width="9" style="2"/>
    <col min="5" max="5" width="15.25" customWidth="1"/>
    <col min="6" max="6" width="18" customWidth="1"/>
    <col min="10" max="10" width="15.25" customWidth="1"/>
  </cols>
  <sheetData>
    <row r="1" spans="1:12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7" t="s">
        <v>14</v>
      </c>
    </row>
    <row r="2" spans="1:12" x14ac:dyDescent="0.3">
      <c r="A2" s="1">
        <v>2006</v>
      </c>
      <c r="B2" s="1">
        <v>13</v>
      </c>
      <c r="C2" s="3">
        <f>B2-$B$20</f>
        <v>-3.466666666666665</v>
      </c>
      <c r="D2" s="1">
        <v>94</v>
      </c>
      <c r="E2" s="3">
        <f>D2-$C$20</f>
        <v>-4.9333333333333371</v>
      </c>
      <c r="F2">
        <f>C2*E2</f>
        <v>17.102222222222228</v>
      </c>
    </row>
    <row r="3" spans="1:12" x14ac:dyDescent="0.3">
      <c r="A3" s="1">
        <v>2007</v>
      </c>
      <c r="B3" s="1">
        <v>8</v>
      </c>
      <c r="C3" s="3">
        <f t="shared" ref="C3:C16" si="0">B3-$B$20</f>
        <v>-8.466666666666665</v>
      </c>
      <c r="D3" s="1">
        <v>70</v>
      </c>
      <c r="E3" s="3">
        <f t="shared" ref="E3:E16" si="1">D3-$C$20</f>
        <v>-28.933333333333337</v>
      </c>
      <c r="F3">
        <f t="shared" ref="F3:F16" si="2">C3*E3</f>
        <v>244.96888888888887</v>
      </c>
    </row>
    <row r="4" spans="1:12" x14ac:dyDescent="0.3">
      <c r="A4" s="1">
        <v>2008</v>
      </c>
      <c r="B4" s="1">
        <v>10</v>
      </c>
      <c r="C4" s="3">
        <f t="shared" si="0"/>
        <v>-6.466666666666665</v>
      </c>
      <c r="D4" s="1">
        <v>90</v>
      </c>
      <c r="E4" s="3">
        <f t="shared" si="1"/>
        <v>-8.9333333333333371</v>
      </c>
      <c r="F4">
        <f t="shared" si="2"/>
        <v>57.768888888888895</v>
      </c>
    </row>
    <row r="5" spans="1:12" x14ac:dyDescent="0.3">
      <c r="A5" s="1">
        <v>2009</v>
      </c>
      <c r="B5" s="1">
        <v>15</v>
      </c>
      <c r="C5" s="3">
        <f t="shared" si="0"/>
        <v>-1.466666666666665</v>
      </c>
      <c r="D5" s="1">
        <v>100</v>
      </c>
      <c r="E5" s="3">
        <f t="shared" si="1"/>
        <v>1.0666666666666629</v>
      </c>
      <c r="F5">
        <f t="shared" si="2"/>
        <v>-1.5644444444444372</v>
      </c>
    </row>
    <row r="6" spans="1:12" x14ac:dyDescent="0.3">
      <c r="A6" s="1">
        <v>2010</v>
      </c>
      <c r="B6" s="1">
        <v>12</v>
      </c>
      <c r="C6" s="3">
        <f t="shared" si="0"/>
        <v>-4.466666666666665</v>
      </c>
      <c r="D6" s="1">
        <v>95</v>
      </c>
      <c r="E6" s="3">
        <f t="shared" si="1"/>
        <v>-3.9333333333333371</v>
      </c>
      <c r="F6">
        <f t="shared" si="2"/>
        <v>17.5688888888889</v>
      </c>
    </row>
    <row r="7" spans="1:12" x14ac:dyDescent="0.3">
      <c r="A7" s="1">
        <v>2011</v>
      </c>
      <c r="B7" s="1">
        <v>15</v>
      </c>
      <c r="C7" s="3">
        <f t="shared" si="0"/>
        <v>-1.466666666666665</v>
      </c>
      <c r="D7" s="1">
        <v>100</v>
      </c>
      <c r="E7" s="3">
        <f t="shared" si="1"/>
        <v>1.0666666666666629</v>
      </c>
      <c r="F7">
        <f t="shared" si="2"/>
        <v>-1.5644444444444372</v>
      </c>
      <c r="J7" t="s">
        <v>16</v>
      </c>
    </row>
    <row r="8" spans="1:12" x14ac:dyDescent="0.3">
      <c r="A8" s="1">
        <v>2012</v>
      </c>
      <c r="B8" s="1">
        <v>14</v>
      </c>
      <c r="C8" s="3">
        <f t="shared" si="0"/>
        <v>-2.466666666666665</v>
      </c>
      <c r="D8" s="1">
        <v>85</v>
      </c>
      <c r="E8" s="3">
        <f t="shared" si="1"/>
        <v>-13.933333333333337</v>
      </c>
      <c r="F8">
        <f t="shared" si="2"/>
        <v>34.368888888888875</v>
      </c>
      <c r="J8">
        <f>F17</f>
        <v>703.4666666666667</v>
      </c>
    </row>
    <row r="9" spans="1:12" x14ac:dyDescent="0.3">
      <c r="A9" s="1">
        <v>2013</v>
      </c>
      <c r="B9" s="1">
        <v>15</v>
      </c>
      <c r="C9" s="3">
        <f t="shared" si="0"/>
        <v>-1.466666666666665</v>
      </c>
      <c r="D9" s="1">
        <v>95</v>
      </c>
      <c r="E9" s="3">
        <f t="shared" si="1"/>
        <v>-3.9333333333333371</v>
      </c>
      <c r="F9">
        <f t="shared" si="2"/>
        <v>5.7688888888888883</v>
      </c>
      <c r="J9">
        <f>COUNT(B2:B16)</f>
        <v>15</v>
      </c>
      <c r="L9">
        <f>J8/J9</f>
        <v>46.897777777777783</v>
      </c>
    </row>
    <row r="10" spans="1:12" x14ac:dyDescent="0.3">
      <c r="A10" s="1">
        <v>2014</v>
      </c>
      <c r="B10" s="1">
        <v>17</v>
      </c>
      <c r="C10" s="3">
        <f t="shared" si="0"/>
        <v>0.53333333333333499</v>
      </c>
      <c r="D10" s="1">
        <v>105</v>
      </c>
      <c r="E10" s="3">
        <f t="shared" si="1"/>
        <v>6.0666666666666629</v>
      </c>
      <c r="F10">
        <f t="shared" si="2"/>
        <v>3.2355555555555635</v>
      </c>
    </row>
    <row r="11" spans="1:12" x14ac:dyDescent="0.3">
      <c r="A11" s="1">
        <v>2015</v>
      </c>
      <c r="B11" s="1">
        <v>19</v>
      </c>
      <c r="C11" s="3">
        <f t="shared" si="0"/>
        <v>2.533333333333335</v>
      </c>
      <c r="D11" s="1">
        <v>105</v>
      </c>
      <c r="E11" s="3">
        <f t="shared" si="1"/>
        <v>6.0666666666666629</v>
      </c>
      <c r="F11">
        <f t="shared" si="2"/>
        <v>15.36888888888889</v>
      </c>
    </row>
    <row r="12" spans="1:12" x14ac:dyDescent="0.3">
      <c r="A12" s="1">
        <v>2016</v>
      </c>
      <c r="B12" s="1">
        <v>20</v>
      </c>
      <c r="C12" s="3">
        <f t="shared" si="0"/>
        <v>3.533333333333335</v>
      </c>
      <c r="D12" s="1">
        <v>110</v>
      </c>
      <c r="E12" s="3">
        <f t="shared" si="1"/>
        <v>11.066666666666663</v>
      </c>
      <c r="F12">
        <f t="shared" si="2"/>
        <v>39.102222222222224</v>
      </c>
      <c r="J12">
        <f>_xlfn.COVARIANCE.P($B$2:$B$16,$D$2:$D$16)</f>
        <v>46.897777777777783</v>
      </c>
    </row>
    <row r="13" spans="1:12" x14ac:dyDescent="0.3">
      <c r="A13" s="1">
        <v>2017</v>
      </c>
      <c r="B13" s="1">
        <v>21</v>
      </c>
      <c r="C13" s="3">
        <f t="shared" si="0"/>
        <v>4.533333333333335</v>
      </c>
      <c r="D13" s="1">
        <v>105</v>
      </c>
      <c r="E13" s="3">
        <f t="shared" si="1"/>
        <v>6.0666666666666629</v>
      </c>
      <c r="F13">
        <f t="shared" si="2"/>
        <v>27.502222222222215</v>
      </c>
    </row>
    <row r="14" spans="1:12" x14ac:dyDescent="0.3">
      <c r="A14" s="1">
        <v>2018</v>
      </c>
      <c r="B14" s="1">
        <v>22</v>
      </c>
      <c r="C14" s="3">
        <f t="shared" si="0"/>
        <v>5.533333333333335</v>
      </c>
      <c r="D14" s="1">
        <v>104</v>
      </c>
      <c r="E14" s="3">
        <f t="shared" si="1"/>
        <v>5.0666666666666629</v>
      </c>
      <c r="F14">
        <f t="shared" si="2"/>
        <v>28.035555555555543</v>
      </c>
    </row>
    <row r="15" spans="1:12" x14ac:dyDescent="0.3">
      <c r="A15" s="1">
        <v>2019</v>
      </c>
      <c r="B15" s="1">
        <v>21</v>
      </c>
      <c r="C15" s="3">
        <f t="shared" si="0"/>
        <v>4.533333333333335</v>
      </c>
      <c r="D15" s="1">
        <v>105</v>
      </c>
      <c r="E15" s="3">
        <f t="shared" si="1"/>
        <v>6.0666666666666629</v>
      </c>
      <c r="F15">
        <f t="shared" si="2"/>
        <v>27.502222222222215</v>
      </c>
    </row>
    <row r="16" spans="1:12" x14ac:dyDescent="0.3">
      <c r="A16" s="1">
        <v>2020</v>
      </c>
      <c r="B16" s="1">
        <v>25</v>
      </c>
      <c r="C16" s="3">
        <f t="shared" si="0"/>
        <v>8.533333333333335</v>
      </c>
      <c r="D16" s="1">
        <v>121</v>
      </c>
      <c r="E16" s="3">
        <f t="shared" si="1"/>
        <v>22.066666666666663</v>
      </c>
      <c r="F16">
        <f t="shared" si="2"/>
        <v>188.30222222222221</v>
      </c>
    </row>
    <row r="17" spans="1:16" x14ac:dyDescent="0.3">
      <c r="D17" s="2"/>
      <c r="E17" t="s">
        <v>15</v>
      </c>
      <c r="F17">
        <f>SUM(F2:F16)</f>
        <v>703.4666666666667</v>
      </c>
    </row>
    <row r="18" spans="1:16" x14ac:dyDescent="0.3">
      <c r="D18" s="2"/>
    </row>
    <row r="19" spans="1:16" x14ac:dyDescent="0.3">
      <c r="B19" s="1" t="s">
        <v>1</v>
      </c>
      <c r="C19" s="2" t="s">
        <v>2</v>
      </c>
      <c r="D19" s="2"/>
      <c r="E19" t="s">
        <v>22</v>
      </c>
      <c r="F19">
        <f>_xlfn.STDEV.P(B2:B16)</f>
        <v>4.6312945154555747</v>
      </c>
      <c r="L19">
        <f>L9</f>
        <v>46.897777777777783</v>
      </c>
      <c r="N19">
        <f>L19/L20</f>
        <v>0.88792090224061171</v>
      </c>
      <c r="P19">
        <f>CORREL(B2:B16,D2:D16)</f>
        <v>0.88792090224061171</v>
      </c>
    </row>
    <row r="20" spans="1:16" x14ac:dyDescent="0.3">
      <c r="A20" s="2" t="s">
        <v>3</v>
      </c>
      <c r="B20" s="4">
        <f xml:space="preserve"> AVERAGE(B2:B16)</f>
        <v>16.466666666666665</v>
      </c>
      <c r="C20" s="4">
        <f xml:space="preserve"> AVERAGE(D2:D16)</f>
        <v>98.933333333333337</v>
      </c>
      <c r="E20" t="s">
        <v>23</v>
      </c>
      <c r="F20">
        <f>_xlfn.STDEV.P(D2:D16)</f>
        <v>11.404482549516318</v>
      </c>
      <c r="L20">
        <f>F19*F20</f>
        <v>52.817517483183735</v>
      </c>
    </row>
    <row r="24" spans="1:16" x14ac:dyDescent="0.3">
      <c r="A24">
        <f>CORREL(B2:B16,D2:D16)</f>
        <v>0.88792090224061171</v>
      </c>
    </row>
    <row r="42" spans="1:13" s="6" customFormat="1" x14ac:dyDescent="0.3">
      <c r="A42" s="5"/>
      <c r="B42" s="5"/>
      <c r="C42" s="5"/>
      <c r="D42" s="5" t="s">
        <v>11</v>
      </c>
    </row>
    <row r="48" spans="1:13" x14ac:dyDescent="0.3">
      <c r="B48" s="2" t="s">
        <v>4</v>
      </c>
      <c r="I48" t="s">
        <v>9</v>
      </c>
      <c r="K48" t="s">
        <v>10</v>
      </c>
      <c r="M48" t="s">
        <v>17</v>
      </c>
    </row>
    <row r="49" spans="2:9" x14ac:dyDescent="0.3">
      <c r="B49" s="2" t="s">
        <v>7</v>
      </c>
      <c r="D49" s="2" t="s">
        <v>5</v>
      </c>
      <c r="G49" t="s">
        <v>6</v>
      </c>
      <c r="I49">
        <f>AVERAGE(B2:B16)</f>
        <v>16.466666666666665</v>
      </c>
    </row>
    <row r="50" spans="2:9" x14ac:dyDescent="0.3">
      <c r="B50" s="2" t="s">
        <v>8</v>
      </c>
      <c r="D50" s="2" t="s">
        <v>5</v>
      </c>
      <c r="G50" t="s">
        <v>2</v>
      </c>
    </row>
    <row r="52" spans="2:9" x14ac:dyDescent="0.3">
      <c r="H52" t="s">
        <v>21</v>
      </c>
    </row>
    <row r="53" spans="2:9" x14ac:dyDescent="0.3">
      <c r="G53" t="s">
        <v>18</v>
      </c>
      <c r="H53" t="s">
        <v>19</v>
      </c>
      <c r="I53" t="s">
        <v>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광고비와 매출액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2016-05-13T11:04:19Z</dcterms:created>
  <dcterms:modified xsi:type="dcterms:W3CDTF">2026-10-15T07:59:07Z</dcterms:modified>
</cp:coreProperties>
</file>