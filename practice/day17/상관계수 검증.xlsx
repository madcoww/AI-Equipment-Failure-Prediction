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 Equipment Failure Prediction\practice\day17\"/>
    </mc:Choice>
  </mc:AlternateContent>
  <xr:revisionPtr revIDLastSave="0" documentId="13_ncr:1_{7F8E2D8C-27A4-4F84-BE3A-C9722BB3B3D5}" xr6:coauthVersionLast="47" xr6:coauthVersionMax="47" xr10:uidLastSave="{00000000-0000-0000-0000-000000000000}"/>
  <bookViews>
    <workbookView xWindow="1935" yWindow="420" windowWidth="16320" windowHeight="15480" activeTab="1" xr2:uid="{E0F64BDC-38C1-4266-8A22-4C1877E34E79}"/>
  </bookViews>
  <sheets>
    <sheet name="14_hydraulic" sheetId="2" r:id="rId1"/>
    <sheet name="Sheet1" sheetId="1" r:id="rId2"/>
  </sheets>
  <definedNames>
    <definedName name="ExternalData_1" localSheetId="0" hidden="1">'14_hydraulic'!$A$1:$H$121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I6" i="1"/>
  <c r="G6" i="1"/>
  <c r="A2" i="1"/>
  <c r="F24" i="1" s="1"/>
  <c r="B2" i="1"/>
  <c r="G22" i="1" s="1"/>
  <c r="C2" i="1"/>
  <c r="H22" i="1" s="1"/>
  <c r="D2" i="1"/>
  <c r="I22" i="1" s="1"/>
  <c r="I105" i="1" l="1"/>
  <c r="I11" i="1"/>
  <c r="I21" i="1"/>
  <c r="F110" i="1"/>
  <c r="F86" i="1"/>
  <c r="F74" i="1"/>
  <c r="F62" i="1"/>
  <c r="F50" i="1"/>
  <c r="F38" i="1"/>
  <c r="F26" i="1"/>
  <c r="F14" i="1"/>
  <c r="G120" i="1"/>
  <c r="G108" i="1"/>
  <c r="G96" i="1"/>
  <c r="G84" i="1"/>
  <c r="G72" i="1"/>
  <c r="G60" i="1"/>
  <c r="G48" i="1"/>
  <c r="G36" i="1"/>
  <c r="G24" i="1"/>
  <c r="G12" i="1"/>
  <c r="H120" i="1"/>
  <c r="H108" i="1"/>
  <c r="H96" i="1"/>
  <c r="H84" i="1"/>
  <c r="H72" i="1"/>
  <c r="H60" i="1"/>
  <c r="H48" i="1"/>
  <c r="H36" i="1"/>
  <c r="H24" i="1"/>
  <c r="H12" i="1"/>
  <c r="I120" i="1"/>
  <c r="I108" i="1"/>
  <c r="I96" i="1"/>
  <c r="I84" i="1"/>
  <c r="I72" i="1"/>
  <c r="I60" i="1"/>
  <c r="I48" i="1"/>
  <c r="I36" i="1"/>
  <c r="I24" i="1"/>
  <c r="F10" i="1"/>
  <c r="F119" i="1"/>
  <c r="F107" i="1"/>
  <c r="F95" i="1"/>
  <c r="F83" i="1"/>
  <c r="F71" i="1"/>
  <c r="F59" i="1"/>
  <c r="F47" i="1"/>
  <c r="F35" i="1"/>
  <c r="F23" i="1"/>
  <c r="G129" i="1"/>
  <c r="G117" i="1"/>
  <c r="G105" i="1"/>
  <c r="G93" i="1"/>
  <c r="G81" i="1"/>
  <c r="G69" i="1"/>
  <c r="G57" i="1"/>
  <c r="G45" i="1"/>
  <c r="G33" i="1"/>
  <c r="G21" i="1"/>
  <c r="H129" i="1"/>
  <c r="H117" i="1"/>
  <c r="H105" i="1"/>
  <c r="H93" i="1"/>
  <c r="H81" i="1"/>
  <c r="H69" i="1"/>
  <c r="H57" i="1"/>
  <c r="H45" i="1"/>
  <c r="H33" i="1"/>
  <c r="H21" i="1"/>
  <c r="I129" i="1"/>
  <c r="I117" i="1"/>
  <c r="I20" i="1"/>
  <c r="I93" i="1"/>
  <c r="I81" i="1"/>
  <c r="I69" i="1"/>
  <c r="I57" i="1"/>
  <c r="I45" i="1"/>
  <c r="I33" i="1"/>
  <c r="F11" i="1"/>
  <c r="F118" i="1"/>
  <c r="F106" i="1"/>
  <c r="F94" i="1"/>
  <c r="F82" i="1"/>
  <c r="F70" i="1"/>
  <c r="F58" i="1"/>
  <c r="F46" i="1"/>
  <c r="F34" i="1"/>
  <c r="F22" i="1"/>
  <c r="G128" i="1"/>
  <c r="G116" i="1"/>
  <c r="G104" i="1"/>
  <c r="G92" i="1"/>
  <c r="G80" i="1"/>
  <c r="G68" i="1"/>
  <c r="G56" i="1"/>
  <c r="G44" i="1"/>
  <c r="G32" i="1"/>
  <c r="G20" i="1"/>
  <c r="H128" i="1"/>
  <c r="H116" i="1"/>
  <c r="H104" i="1"/>
  <c r="H92" i="1"/>
  <c r="H80" i="1"/>
  <c r="H68" i="1"/>
  <c r="H56" i="1"/>
  <c r="H44" i="1"/>
  <c r="H32" i="1"/>
  <c r="H20" i="1"/>
  <c r="I128" i="1"/>
  <c r="I116" i="1"/>
  <c r="I104" i="1"/>
  <c r="I92" i="1"/>
  <c r="I80" i="1"/>
  <c r="I68" i="1"/>
  <c r="I56" i="1"/>
  <c r="I44" i="1"/>
  <c r="I32" i="1"/>
  <c r="F129" i="1"/>
  <c r="F117" i="1"/>
  <c r="F105" i="1"/>
  <c r="F93" i="1"/>
  <c r="F81" i="1"/>
  <c r="F69" i="1"/>
  <c r="F57" i="1"/>
  <c r="F45" i="1"/>
  <c r="F33" i="1"/>
  <c r="F21" i="1"/>
  <c r="G127" i="1"/>
  <c r="G115" i="1"/>
  <c r="G103" i="1"/>
  <c r="G91" i="1"/>
  <c r="G79" i="1"/>
  <c r="G67" i="1"/>
  <c r="G55" i="1"/>
  <c r="G43" i="1"/>
  <c r="G31" i="1"/>
  <c r="G19" i="1"/>
  <c r="H127" i="1"/>
  <c r="H115" i="1"/>
  <c r="H103" i="1"/>
  <c r="H91" i="1"/>
  <c r="H79" i="1"/>
  <c r="H67" i="1"/>
  <c r="H55" i="1"/>
  <c r="H43" i="1"/>
  <c r="H31" i="1"/>
  <c r="H19" i="1"/>
  <c r="I127" i="1"/>
  <c r="I115" i="1"/>
  <c r="I103" i="1"/>
  <c r="I91" i="1"/>
  <c r="I79" i="1"/>
  <c r="I67" i="1"/>
  <c r="I55" i="1"/>
  <c r="I43" i="1"/>
  <c r="I31" i="1"/>
  <c r="I19" i="1"/>
  <c r="F116" i="1"/>
  <c r="F80" i="1"/>
  <c r="F44" i="1"/>
  <c r="F32" i="1"/>
  <c r="F20" i="1"/>
  <c r="G126" i="1"/>
  <c r="G114" i="1"/>
  <c r="G102" i="1"/>
  <c r="G90" i="1"/>
  <c r="G78" i="1"/>
  <c r="G66" i="1"/>
  <c r="G54" i="1"/>
  <c r="G42" i="1"/>
  <c r="G30" i="1"/>
  <c r="G18" i="1"/>
  <c r="H126" i="1"/>
  <c r="H114" i="1"/>
  <c r="H102" i="1"/>
  <c r="H90" i="1"/>
  <c r="H78" i="1"/>
  <c r="H66" i="1"/>
  <c r="H54" i="1"/>
  <c r="H42" i="1"/>
  <c r="H30" i="1"/>
  <c r="H18" i="1"/>
  <c r="I126" i="1"/>
  <c r="I114" i="1"/>
  <c r="I102" i="1"/>
  <c r="I90" i="1"/>
  <c r="I78" i="1"/>
  <c r="I66" i="1"/>
  <c r="I54" i="1"/>
  <c r="I42" i="1"/>
  <c r="I30" i="1"/>
  <c r="I18" i="1"/>
  <c r="I17" i="1"/>
  <c r="F98" i="1"/>
  <c r="F128" i="1"/>
  <c r="F104" i="1"/>
  <c r="F68" i="1"/>
  <c r="F127" i="1"/>
  <c r="F103" i="1"/>
  <c r="F79" i="1"/>
  <c r="F55" i="1"/>
  <c r="F31" i="1"/>
  <c r="G125" i="1"/>
  <c r="G101" i="1"/>
  <c r="G65" i="1"/>
  <c r="G41" i="1"/>
  <c r="G17" i="1"/>
  <c r="H113" i="1"/>
  <c r="H89" i="1"/>
  <c r="H65" i="1"/>
  <c r="H41" i="1"/>
  <c r="H17" i="1"/>
  <c r="I113" i="1"/>
  <c r="I89" i="1"/>
  <c r="I65" i="1"/>
  <c r="I53" i="1"/>
  <c r="I41" i="1"/>
  <c r="F126" i="1"/>
  <c r="F102" i="1"/>
  <c r="F66" i="1"/>
  <c r="F42" i="1"/>
  <c r="F18" i="1"/>
  <c r="G124" i="1"/>
  <c r="G112" i="1"/>
  <c r="G100" i="1"/>
  <c r="G88" i="1"/>
  <c r="G76" i="1"/>
  <c r="G52" i="1"/>
  <c r="G40" i="1"/>
  <c r="G28" i="1"/>
  <c r="G16" i="1"/>
  <c r="H124" i="1"/>
  <c r="H112" i="1"/>
  <c r="H100" i="1"/>
  <c r="H88" i="1"/>
  <c r="H76" i="1"/>
  <c r="H64" i="1"/>
  <c r="H52" i="1"/>
  <c r="H40" i="1"/>
  <c r="H28" i="1"/>
  <c r="H16" i="1"/>
  <c r="I124" i="1"/>
  <c r="I112" i="1"/>
  <c r="I100" i="1"/>
  <c r="I88" i="1"/>
  <c r="I76" i="1"/>
  <c r="I64" i="1"/>
  <c r="I52" i="1"/>
  <c r="I40" i="1"/>
  <c r="I28" i="1"/>
  <c r="I16" i="1"/>
  <c r="F122" i="1"/>
  <c r="F92" i="1"/>
  <c r="F56" i="1"/>
  <c r="F115" i="1"/>
  <c r="F91" i="1"/>
  <c r="F67" i="1"/>
  <c r="F43" i="1"/>
  <c r="F19" i="1"/>
  <c r="G113" i="1"/>
  <c r="G89" i="1"/>
  <c r="G77" i="1"/>
  <c r="G53" i="1"/>
  <c r="G29" i="1"/>
  <c r="H125" i="1"/>
  <c r="H101" i="1"/>
  <c r="H77" i="1"/>
  <c r="H53" i="1"/>
  <c r="H29" i="1"/>
  <c r="I125" i="1"/>
  <c r="I101" i="1"/>
  <c r="I77" i="1"/>
  <c r="I29" i="1"/>
  <c r="F114" i="1"/>
  <c r="F90" i="1"/>
  <c r="F78" i="1"/>
  <c r="F54" i="1"/>
  <c r="F30" i="1"/>
  <c r="G64" i="1"/>
  <c r="F125" i="1"/>
  <c r="F113" i="1"/>
  <c r="F101" i="1"/>
  <c r="F89" i="1"/>
  <c r="F77" i="1"/>
  <c r="F65" i="1"/>
  <c r="F53" i="1"/>
  <c r="F41" i="1"/>
  <c r="F29" i="1"/>
  <c r="F17" i="1"/>
  <c r="G123" i="1"/>
  <c r="G111" i="1"/>
  <c r="G99" i="1"/>
  <c r="G87" i="1"/>
  <c r="G75" i="1"/>
  <c r="G63" i="1"/>
  <c r="G51" i="1"/>
  <c r="G39" i="1"/>
  <c r="G27" i="1"/>
  <c r="G15" i="1"/>
  <c r="H123" i="1"/>
  <c r="H111" i="1"/>
  <c r="H99" i="1"/>
  <c r="H87" i="1"/>
  <c r="H75" i="1"/>
  <c r="H63" i="1"/>
  <c r="H51" i="1"/>
  <c r="H39" i="1"/>
  <c r="H27" i="1"/>
  <c r="H15" i="1"/>
  <c r="I123" i="1"/>
  <c r="I111" i="1"/>
  <c r="I99" i="1"/>
  <c r="I87" i="1"/>
  <c r="I75" i="1"/>
  <c r="I63" i="1"/>
  <c r="I51" i="1"/>
  <c r="I39" i="1"/>
  <c r="I27" i="1"/>
  <c r="I15" i="1"/>
  <c r="F124" i="1"/>
  <c r="F112" i="1"/>
  <c r="F100" i="1"/>
  <c r="F88" i="1"/>
  <c r="F76" i="1"/>
  <c r="F64" i="1"/>
  <c r="F52" i="1"/>
  <c r="F40" i="1"/>
  <c r="F28" i="1"/>
  <c r="F16" i="1"/>
  <c r="G122" i="1"/>
  <c r="G110" i="1"/>
  <c r="G98" i="1"/>
  <c r="G86" i="1"/>
  <c r="G74" i="1"/>
  <c r="G62" i="1"/>
  <c r="G50" i="1"/>
  <c r="G38" i="1"/>
  <c r="G26" i="1"/>
  <c r="G14" i="1"/>
  <c r="H122" i="1"/>
  <c r="H110" i="1"/>
  <c r="H98" i="1"/>
  <c r="H86" i="1"/>
  <c r="H74" i="1"/>
  <c r="H62" i="1"/>
  <c r="H50" i="1"/>
  <c r="H38" i="1"/>
  <c r="H26" i="1"/>
  <c r="H14" i="1"/>
  <c r="I122" i="1"/>
  <c r="I110" i="1"/>
  <c r="I98" i="1"/>
  <c r="I86" i="1"/>
  <c r="I74" i="1"/>
  <c r="I62" i="1"/>
  <c r="I50" i="1"/>
  <c r="I38" i="1"/>
  <c r="I26" i="1"/>
  <c r="I14" i="1"/>
  <c r="F123" i="1"/>
  <c r="F111" i="1"/>
  <c r="F99" i="1"/>
  <c r="F87" i="1"/>
  <c r="F75" i="1"/>
  <c r="F63" i="1"/>
  <c r="F51" i="1"/>
  <c r="F39" i="1"/>
  <c r="F27" i="1"/>
  <c r="F15" i="1"/>
  <c r="G121" i="1"/>
  <c r="G109" i="1"/>
  <c r="G97" i="1"/>
  <c r="G85" i="1"/>
  <c r="G73" i="1"/>
  <c r="G61" i="1"/>
  <c r="G49" i="1"/>
  <c r="G37" i="1"/>
  <c r="G25" i="1"/>
  <c r="G13" i="1"/>
  <c r="H121" i="1"/>
  <c r="H109" i="1"/>
  <c r="H97" i="1"/>
  <c r="H85" i="1"/>
  <c r="H73" i="1"/>
  <c r="H61" i="1"/>
  <c r="H49" i="1"/>
  <c r="H37" i="1"/>
  <c r="H25" i="1"/>
  <c r="H13" i="1"/>
  <c r="I121" i="1"/>
  <c r="I109" i="1"/>
  <c r="I97" i="1"/>
  <c r="I85" i="1"/>
  <c r="I73" i="1"/>
  <c r="I61" i="1"/>
  <c r="I49" i="1"/>
  <c r="I37" i="1"/>
  <c r="I25" i="1"/>
  <c r="I13" i="1"/>
  <c r="I12" i="1"/>
  <c r="F121" i="1"/>
  <c r="F109" i="1"/>
  <c r="F97" i="1"/>
  <c r="F85" i="1"/>
  <c r="F73" i="1"/>
  <c r="F61" i="1"/>
  <c r="F49" i="1"/>
  <c r="F37" i="1"/>
  <c r="F25" i="1"/>
  <c r="F13" i="1"/>
  <c r="G119" i="1"/>
  <c r="G107" i="1"/>
  <c r="G95" i="1"/>
  <c r="G83" i="1"/>
  <c r="G71" i="1"/>
  <c r="G59" i="1"/>
  <c r="G47" i="1"/>
  <c r="G35" i="1"/>
  <c r="G23" i="1"/>
  <c r="G11" i="1"/>
  <c r="H119" i="1"/>
  <c r="H107" i="1"/>
  <c r="H95" i="1"/>
  <c r="H83" i="1"/>
  <c r="H71" i="1"/>
  <c r="H59" i="1"/>
  <c r="H47" i="1"/>
  <c r="H35" i="1"/>
  <c r="H23" i="1"/>
  <c r="H11" i="1"/>
  <c r="I119" i="1"/>
  <c r="I107" i="1"/>
  <c r="I95" i="1"/>
  <c r="I83" i="1"/>
  <c r="I71" i="1"/>
  <c r="I59" i="1"/>
  <c r="I47" i="1"/>
  <c r="I35" i="1"/>
  <c r="I23" i="1"/>
  <c r="F12" i="1"/>
  <c r="F120" i="1"/>
  <c r="F108" i="1"/>
  <c r="F96" i="1"/>
  <c r="F84" i="1"/>
  <c r="F72" i="1"/>
  <c r="F60" i="1"/>
  <c r="F48" i="1"/>
  <c r="F36" i="1"/>
  <c r="G10" i="1"/>
  <c r="G118" i="1"/>
  <c r="G106" i="1"/>
  <c r="G94" i="1"/>
  <c r="G82" i="1"/>
  <c r="G70" i="1"/>
  <c r="G58" i="1"/>
  <c r="G46" i="1"/>
  <c r="G34" i="1"/>
  <c r="H10" i="1"/>
  <c r="H118" i="1"/>
  <c r="H106" i="1"/>
  <c r="H94" i="1"/>
  <c r="H82" i="1"/>
  <c r="H70" i="1"/>
  <c r="H58" i="1"/>
  <c r="H46" i="1"/>
  <c r="H34" i="1"/>
  <c r="I10" i="1"/>
  <c r="I2" i="1" s="1"/>
  <c r="I118" i="1"/>
  <c r="I106" i="1"/>
  <c r="I94" i="1"/>
  <c r="I82" i="1"/>
  <c r="I70" i="1"/>
  <c r="I58" i="1"/>
  <c r="I46" i="1"/>
  <c r="I34" i="1"/>
  <c r="G2" i="1" l="1"/>
  <c r="H4" i="1"/>
  <c r="I4" i="1"/>
  <c r="G4" i="1"/>
  <c r="H2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220D7A-0694-4F8F-8463-5F2B1D3B1A3F}" keepAlive="1" name="쿼리 - 14_hydraulic" description="통합 문서의 '14_hydraulic' 쿼리에 대한 연결입니다." type="5" refreshedVersion="8" background="1" saveData="1">
    <dbPr connection="Provider=Microsoft.Mashup.OleDb.1;Data Source=$Workbook$;Location=14_hydraulic;Extended Properties=&quot;&quot;" command="SELECT * FROM [14_hydraulic]"/>
  </connection>
</connections>
</file>

<file path=xl/sharedStrings.xml><?xml version="1.0" encoding="utf-8"?>
<sst xmlns="http://schemas.openxmlformats.org/spreadsheetml/2006/main" count="510" uniqueCount="34">
  <si>
    <t>냉각기상태</t>
  </si>
  <si>
    <t>운전부하</t>
  </si>
  <si>
    <t>밸브상태</t>
  </si>
  <si>
    <t>온도</t>
  </si>
  <si>
    <t>진동</t>
  </si>
  <si>
    <t>압력</t>
  </si>
  <si>
    <t>냉각효율</t>
  </si>
  <si>
    <t>result</t>
  </si>
  <si>
    <t>고장</t>
  </si>
  <si>
    <t>고부하</t>
  </si>
  <si>
    <t>정상</t>
  </si>
  <si>
    <t>저부하</t>
  </si>
  <si>
    <t>지연</t>
  </si>
  <si>
    <t>경미</t>
  </si>
  <si>
    <t>심각</t>
  </si>
  <si>
    <t>저하</t>
  </si>
  <si>
    <t>온도평균</t>
    <phoneticPr fontId="1" type="noConversion"/>
  </si>
  <si>
    <t>진동평균</t>
    <phoneticPr fontId="1" type="noConversion"/>
  </si>
  <si>
    <t>압력평균</t>
    <phoneticPr fontId="1" type="noConversion"/>
  </si>
  <si>
    <t>냉각효율평균</t>
    <phoneticPr fontId="1" type="noConversion"/>
  </si>
  <si>
    <t>진동 표준편차</t>
    <phoneticPr fontId="1" type="noConversion"/>
  </si>
  <si>
    <t>온도 편차</t>
    <phoneticPr fontId="1" type="noConversion"/>
  </si>
  <si>
    <t>진동 편차</t>
    <phoneticPr fontId="1" type="noConversion"/>
  </si>
  <si>
    <t>압력 편차</t>
    <phoneticPr fontId="1" type="noConversion"/>
  </si>
  <si>
    <t>냉각효율 편차</t>
    <phoneticPr fontId="1" type="noConversion"/>
  </si>
  <si>
    <t>온도표준편차</t>
    <phoneticPr fontId="1" type="noConversion"/>
  </si>
  <si>
    <t>압력 표쥰편차</t>
    <phoneticPr fontId="1" type="noConversion"/>
  </si>
  <si>
    <t>냉가효율 표준편차</t>
    <phoneticPr fontId="1" type="noConversion"/>
  </si>
  <si>
    <t>온도진동공분산</t>
    <phoneticPr fontId="1" type="noConversion"/>
  </si>
  <si>
    <t>온도압력공분산</t>
    <phoneticPr fontId="1" type="noConversion"/>
  </si>
  <si>
    <t>온도냉각효율공분산</t>
    <phoneticPr fontId="1" type="noConversion"/>
  </si>
  <si>
    <t>온도진동상관</t>
    <phoneticPr fontId="1" type="noConversion"/>
  </si>
  <si>
    <t>온도압력상관</t>
    <phoneticPr fontId="1" type="noConversion"/>
  </si>
  <si>
    <t>온도냉각효율상관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</si>
</sst>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CFB32F-D1AB-40BB-A228-2687B95399D8}" autoFormatId="16" applyNumberFormats="0" applyBorderFormats="0" applyFontFormats="0" applyPatternFormats="0" applyAlignmentFormats="0" applyWidthHeightFormats="0">
  <queryTableRefresh nextId="9">
    <queryTableFields count="8">
      <queryTableField id="1" name="냉각기상태" tableColumnId="1"/>
      <queryTableField id="2" name="운전부하" tableColumnId="2"/>
      <queryTableField id="3" name="밸브상태" tableColumnId="3"/>
      <queryTableField id="4" name="온도" tableColumnId="4"/>
      <queryTableField id="5" name="진동" tableColumnId="5"/>
      <queryTableField id="6" name="압력" tableColumnId="6"/>
      <queryTableField id="7" name="냉각효율" tableColumnId="7"/>
      <queryTableField id="8" name="resul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F6D66-F9D4-435A-B1AA-F9D44D841680}" name="_14_hydraulic" displayName="_14_hydraulic" ref="A1:H121" tableType="queryTable" totalsRowShown="0">
  <autoFilter ref="A1:H121" xr:uid="{E51F6D66-F9D4-435A-B1AA-F9D44D841680}"/>
  <tableColumns count="8">
    <tableColumn id="1" xr3:uid="{5F931126-7C45-4123-A672-054BDAF74B65}" uniqueName="1" name="냉각기상태" queryTableFieldId="1" dataDxfId="3"/>
    <tableColumn id="2" xr3:uid="{912449AD-2E54-483D-9797-FCE7E824F28E}" uniqueName="2" name="운전부하" queryTableFieldId="2" dataDxfId="2"/>
    <tableColumn id="3" xr3:uid="{C01F1CCF-33C4-47F9-B727-BFAD492F9E6D}" uniqueName="3" name="밸브상태" queryTableFieldId="3" dataDxfId="1"/>
    <tableColumn id="4" xr3:uid="{BBBED108-CFE0-4519-81B8-B177831CBC3E}" uniqueName="4" name="온도" queryTableFieldId="4"/>
    <tableColumn id="5" xr3:uid="{F0BAB9C7-4F62-436E-B87F-39812019F00A}" uniqueName="5" name="진동" queryTableFieldId="5"/>
    <tableColumn id="6" xr3:uid="{4EE45ED0-B1D7-4ED5-B02A-B5DC34ACBDC9}" uniqueName="6" name="압력" queryTableFieldId="6"/>
    <tableColumn id="7" xr3:uid="{51BD5659-8FF8-4681-BAC2-EE2CB420983C}" uniqueName="7" name="냉각효율" queryTableFieldId="7"/>
    <tableColumn id="8" xr3:uid="{F2DD1DAF-9016-48B4-8F99-AD7F9D4F924E}" uniqueName="8" name="resul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C053-17FC-45CF-BB00-289964B0CA5A}">
  <dimension ref="A1:H121"/>
  <sheetViews>
    <sheetView workbookViewId="0">
      <selection activeCell="D1" sqref="D1:G1048576"/>
    </sheetView>
  </sheetViews>
  <sheetFormatPr defaultRowHeight="16.5" x14ac:dyDescent="0.3"/>
  <cols>
    <col min="1" max="1" width="13.25" bestFit="1" customWidth="1"/>
    <col min="2" max="3" width="11.25" bestFit="1" customWidth="1"/>
    <col min="4" max="6" width="7.5" bestFit="1" customWidth="1"/>
    <col min="7" max="7" width="11.25" bestFit="1" customWidth="1"/>
    <col min="8" max="8" width="8.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>
        <v>35.6</v>
      </c>
      <c r="E2">
        <v>0.57699999999999996</v>
      </c>
      <c r="F2">
        <v>160.66999999999999</v>
      </c>
      <c r="G2">
        <v>39.6</v>
      </c>
      <c r="H2" s="1" t="s">
        <v>10</v>
      </c>
    </row>
    <row r="3" spans="1:8" x14ac:dyDescent="0.3">
      <c r="A3" s="1" t="s">
        <v>8</v>
      </c>
      <c r="B3" s="1" t="s">
        <v>11</v>
      </c>
      <c r="C3" s="1" t="s">
        <v>10</v>
      </c>
      <c r="D3">
        <v>47.5</v>
      </c>
      <c r="E3">
        <v>0.60399999999999998</v>
      </c>
      <c r="F3">
        <v>158.65</v>
      </c>
      <c r="G3">
        <v>17.600000000000001</v>
      </c>
      <c r="H3" s="1" t="s">
        <v>10</v>
      </c>
    </row>
    <row r="4" spans="1:8" x14ac:dyDescent="0.3">
      <c r="A4" s="1" t="s">
        <v>8</v>
      </c>
      <c r="B4" s="1" t="s">
        <v>11</v>
      </c>
      <c r="C4" s="1" t="s">
        <v>10</v>
      </c>
      <c r="D4">
        <v>50.7</v>
      </c>
      <c r="E4">
        <v>0.64</v>
      </c>
      <c r="F4">
        <v>157.76</v>
      </c>
      <c r="G4">
        <v>18.7</v>
      </c>
      <c r="H4" s="1" t="s">
        <v>10</v>
      </c>
    </row>
    <row r="5" spans="1:8" x14ac:dyDescent="0.3">
      <c r="A5" s="1" t="s">
        <v>8</v>
      </c>
      <c r="B5" s="1" t="s">
        <v>11</v>
      </c>
      <c r="C5" s="1" t="s">
        <v>10</v>
      </c>
      <c r="D5">
        <v>51.7</v>
      </c>
      <c r="E5">
        <v>0.63500000000000001</v>
      </c>
      <c r="F5">
        <v>157.54</v>
      </c>
      <c r="G5">
        <v>19.600000000000001</v>
      </c>
      <c r="H5" s="1" t="s">
        <v>10</v>
      </c>
    </row>
    <row r="6" spans="1:8" x14ac:dyDescent="0.3">
      <c r="A6" s="1" t="s">
        <v>8</v>
      </c>
      <c r="B6" s="1" t="s">
        <v>11</v>
      </c>
      <c r="C6" s="1" t="s">
        <v>10</v>
      </c>
      <c r="D6">
        <v>52.4</v>
      </c>
      <c r="E6">
        <v>0.63500000000000001</v>
      </c>
      <c r="F6">
        <v>157.36000000000001</v>
      </c>
      <c r="G6">
        <v>21.1</v>
      </c>
      <c r="H6" s="1" t="s">
        <v>10</v>
      </c>
    </row>
    <row r="7" spans="1:8" x14ac:dyDescent="0.3">
      <c r="A7" s="1" t="s">
        <v>8</v>
      </c>
      <c r="B7" s="1" t="s">
        <v>11</v>
      </c>
      <c r="C7" s="1" t="s">
        <v>10</v>
      </c>
      <c r="D7">
        <v>53.1</v>
      </c>
      <c r="E7">
        <v>0.64800000000000002</v>
      </c>
      <c r="F7">
        <v>157.19999999999999</v>
      </c>
      <c r="G7">
        <v>20.9</v>
      </c>
      <c r="H7" s="1" t="s">
        <v>10</v>
      </c>
    </row>
    <row r="8" spans="1:8" x14ac:dyDescent="0.3">
      <c r="A8" s="1" t="s">
        <v>8</v>
      </c>
      <c r="B8" s="1" t="s">
        <v>11</v>
      </c>
      <c r="C8" s="1" t="s">
        <v>10</v>
      </c>
      <c r="D8">
        <v>53.5</v>
      </c>
      <c r="E8">
        <v>0.66600000000000004</v>
      </c>
      <c r="F8">
        <v>157.07</v>
      </c>
      <c r="G8">
        <v>20.100000000000001</v>
      </c>
      <c r="H8" s="1" t="s">
        <v>10</v>
      </c>
    </row>
    <row r="9" spans="1:8" x14ac:dyDescent="0.3">
      <c r="A9" s="1" t="s">
        <v>8</v>
      </c>
      <c r="B9" s="1" t="s">
        <v>11</v>
      </c>
      <c r="C9" s="1" t="s">
        <v>10</v>
      </c>
      <c r="D9">
        <v>53.7</v>
      </c>
      <c r="E9">
        <v>0.65600000000000003</v>
      </c>
      <c r="F9">
        <v>157.09</v>
      </c>
      <c r="G9">
        <v>19.600000000000001</v>
      </c>
      <c r="H9" s="1" t="s">
        <v>10</v>
      </c>
    </row>
    <row r="10" spans="1:8" x14ac:dyDescent="0.3">
      <c r="A10" s="1" t="s">
        <v>8</v>
      </c>
      <c r="B10" s="1" t="s">
        <v>11</v>
      </c>
      <c r="C10" s="1" t="s">
        <v>10</v>
      </c>
      <c r="D10">
        <v>53.9</v>
      </c>
      <c r="E10">
        <v>0.66</v>
      </c>
      <c r="F10">
        <v>156.94999999999999</v>
      </c>
      <c r="G10">
        <v>19.600000000000001</v>
      </c>
      <c r="H10" s="1" t="s">
        <v>10</v>
      </c>
    </row>
    <row r="11" spans="1:8" x14ac:dyDescent="0.3">
      <c r="A11" s="1" t="s">
        <v>8</v>
      </c>
      <c r="B11" s="1" t="s">
        <v>11</v>
      </c>
      <c r="C11" s="1" t="s">
        <v>10</v>
      </c>
      <c r="D11">
        <v>53.9</v>
      </c>
      <c r="E11">
        <v>0.66800000000000004</v>
      </c>
      <c r="F11">
        <v>157.07</v>
      </c>
      <c r="G11">
        <v>19.600000000000001</v>
      </c>
      <c r="H11" s="1" t="s">
        <v>10</v>
      </c>
    </row>
    <row r="12" spans="1:8" x14ac:dyDescent="0.3">
      <c r="A12" s="1" t="s">
        <v>8</v>
      </c>
      <c r="B12" s="1" t="s">
        <v>11</v>
      </c>
      <c r="C12" s="1" t="s">
        <v>10</v>
      </c>
      <c r="D12">
        <v>54.1</v>
      </c>
      <c r="E12">
        <v>0.66700000000000004</v>
      </c>
      <c r="F12">
        <v>157</v>
      </c>
      <c r="G12">
        <v>20</v>
      </c>
      <c r="H12" s="1" t="s">
        <v>10</v>
      </c>
    </row>
    <row r="13" spans="1:8" x14ac:dyDescent="0.3">
      <c r="A13" s="1" t="s">
        <v>8</v>
      </c>
      <c r="B13" s="1" t="s">
        <v>11</v>
      </c>
      <c r="C13" s="1" t="s">
        <v>10</v>
      </c>
      <c r="D13">
        <v>54.3</v>
      </c>
      <c r="E13">
        <v>0.66200000000000003</v>
      </c>
      <c r="F13">
        <v>157.01</v>
      </c>
      <c r="G13">
        <v>19.899999999999999</v>
      </c>
      <c r="H13" s="1" t="s">
        <v>10</v>
      </c>
    </row>
    <row r="14" spans="1:8" x14ac:dyDescent="0.3">
      <c r="A14" s="1" t="s">
        <v>8</v>
      </c>
      <c r="B14" s="1" t="s">
        <v>11</v>
      </c>
      <c r="C14" s="1" t="s">
        <v>12</v>
      </c>
      <c r="D14">
        <v>54.2</v>
      </c>
      <c r="E14">
        <v>0.66100000000000003</v>
      </c>
      <c r="F14">
        <v>156.19999999999999</v>
      </c>
      <c r="G14">
        <v>19.899999999999999</v>
      </c>
      <c r="H14" s="1" t="s">
        <v>8</v>
      </c>
    </row>
    <row r="15" spans="1:8" x14ac:dyDescent="0.3">
      <c r="A15" s="1" t="s">
        <v>8</v>
      </c>
      <c r="B15" s="1" t="s">
        <v>11</v>
      </c>
      <c r="C15" s="1" t="s">
        <v>13</v>
      </c>
      <c r="D15">
        <v>54.2</v>
      </c>
      <c r="E15">
        <v>0.64800000000000002</v>
      </c>
      <c r="F15">
        <v>156.13999999999999</v>
      </c>
      <c r="G15">
        <v>19.899999999999999</v>
      </c>
      <c r="H15" s="1" t="s">
        <v>8</v>
      </c>
    </row>
    <row r="16" spans="1:8" x14ac:dyDescent="0.3">
      <c r="A16" s="1" t="s">
        <v>8</v>
      </c>
      <c r="B16" s="1" t="s">
        <v>11</v>
      </c>
      <c r="C16" s="1" t="s">
        <v>14</v>
      </c>
      <c r="D16">
        <v>54.5</v>
      </c>
      <c r="E16">
        <v>0.65700000000000003</v>
      </c>
      <c r="F16">
        <v>156.54</v>
      </c>
      <c r="G16">
        <v>20.100000000000001</v>
      </c>
      <c r="H16" s="1" t="s">
        <v>8</v>
      </c>
    </row>
    <row r="17" spans="1:8" x14ac:dyDescent="0.3">
      <c r="A17" s="1" t="s">
        <v>8</v>
      </c>
      <c r="B17" s="1" t="s">
        <v>11</v>
      </c>
      <c r="C17" s="1" t="s">
        <v>13</v>
      </c>
      <c r="D17">
        <v>54.4</v>
      </c>
      <c r="E17">
        <v>0.65900000000000003</v>
      </c>
      <c r="F17">
        <v>156.49</v>
      </c>
      <c r="G17">
        <v>20</v>
      </c>
      <c r="H17" s="1" t="s">
        <v>8</v>
      </c>
    </row>
    <row r="18" spans="1:8" x14ac:dyDescent="0.3">
      <c r="A18" s="1" t="s">
        <v>8</v>
      </c>
      <c r="B18" s="1" t="s">
        <v>11</v>
      </c>
      <c r="C18" s="1" t="s">
        <v>14</v>
      </c>
      <c r="D18">
        <v>54.6</v>
      </c>
      <c r="E18">
        <v>0.66600000000000004</v>
      </c>
      <c r="F18">
        <v>157.07</v>
      </c>
      <c r="G18">
        <v>20.2</v>
      </c>
      <c r="H18" s="1" t="s">
        <v>10</v>
      </c>
    </row>
    <row r="19" spans="1:8" x14ac:dyDescent="0.3">
      <c r="A19" s="1" t="s">
        <v>8</v>
      </c>
      <c r="B19" s="1" t="s">
        <v>11</v>
      </c>
      <c r="C19" s="1" t="s">
        <v>13</v>
      </c>
      <c r="D19">
        <v>55</v>
      </c>
      <c r="E19">
        <v>0.65600000000000003</v>
      </c>
      <c r="F19">
        <v>156.79</v>
      </c>
      <c r="G19">
        <v>20.6</v>
      </c>
      <c r="H19" s="1" t="s">
        <v>10</v>
      </c>
    </row>
    <row r="20" spans="1:8" x14ac:dyDescent="0.3">
      <c r="A20" s="1" t="s">
        <v>8</v>
      </c>
      <c r="B20" s="1" t="s">
        <v>11</v>
      </c>
      <c r="C20" s="1" t="s">
        <v>10</v>
      </c>
      <c r="D20">
        <v>54.5</v>
      </c>
      <c r="E20">
        <v>0.67600000000000005</v>
      </c>
      <c r="F20">
        <v>156.82</v>
      </c>
      <c r="G20">
        <v>20.399999999999999</v>
      </c>
      <c r="H20" s="1" t="s">
        <v>10</v>
      </c>
    </row>
    <row r="21" spans="1:8" x14ac:dyDescent="0.3">
      <c r="A21" s="1" t="s">
        <v>8</v>
      </c>
      <c r="B21" s="1" t="s">
        <v>9</v>
      </c>
      <c r="C21" s="1" t="s">
        <v>14</v>
      </c>
      <c r="D21">
        <v>54.4</v>
      </c>
      <c r="E21">
        <v>0.749</v>
      </c>
      <c r="F21">
        <v>173.28</v>
      </c>
      <c r="G21">
        <v>20.2</v>
      </c>
      <c r="H21" s="1" t="s">
        <v>8</v>
      </c>
    </row>
    <row r="22" spans="1:8" x14ac:dyDescent="0.3">
      <c r="A22" s="1" t="s">
        <v>8</v>
      </c>
      <c r="B22" s="1" t="s">
        <v>9</v>
      </c>
      <c r="C22" s="1" t="s">
        <v>13</v>
      </c>
      <c r="D22">
        <v>56</v>
      </c>
      <c r="E22">
        <v>0.77900000000000003</v>
      </c>
      <c r="F22">
        <v>180.41</v>
      </c>
      <c r="G22">
        <v>20.8</v>
      </c>
      <c r="H22" s="1" t="s">
        <v>8</v>
      </c>
    </row>
    <row r="23" spans="1:8" x14ac:dyDescent="0.3">
      <c r="A23" s="1" t="s">
        <v>8</v>
      </c>
      <c r="B23" s="1" t="s">
        <v>9</v>
      </c>
      <c r="C23" s="1" t="s">
        <v>14</v>
      </c>
      <c r="D23">
        <v>56.6</v>
      </c>
      <c r="E23">
        <v>0.73899999999999999</v>
      </c>
      <c r="F23">
        <v>180.7</v>
      </c>
      <c r="G23">
        <v>19.7</v>
      </c>
      <c r="H23" s="1" t="s">
        <v>8</v>
      </c>
    </row>
    <row r="24" spans="1:8" x14ac:dyDescent="0.3">
      <c r="A24" s="1" t="s">
        <v>8</v>
      </c>
      <c r="B24" s="1" t="s">
        <v>9</v>
      </c>
      <c r="C24" s="1" t="s">
        <v>13</v>
      </c>
      <c r="D24">
        <v>56.8</v>
      </c>
      <c r="E24">
        <v>0.73299999999999998</v>
      </c>
      <c r="F24">
        <v>172.86</v>
      </c>
      <c r="G24">
        <v>19</v>
      </c>
      <c r="H24" s="1" t="s">
        <v>8</v>
      </c>
    </row>
    <row r="25" spans="1:8" x14ac:dyDescent="0.3">
      <c r="A25" s="1" t="s">
        <v>8</v>
      </c>
      <c r="B25" s="1" t="s">
        <v>11</v>
      </c>
      <c r="C25" s="1" t="s">
        <v>10</v>
      </c>
      <c r="D25">
        <v>57.1</v>
      </c>
      <c r="E25">
        <v>0.72499999999999998</v>
      </c>
      <c r="F25">
        <v>156.08000000000001</v>
      </c>
      <c r="G25">
        <v>18.8</v>
      </c>
      <c r="H25" s="1" t="s">
        <v>10</v>
      </c>
    </row>
    <row r="26" spans="1:8" x14ac:dyDescent="0.3">
      <c r="A26" s="1" t="s">
        <v>8</v>
      </c>
      <c r="B26" s="1" t="s">
        <v>11</v>
      </c>
      <c r="C26" s="1" t="s">
        <v>12</v>
      </c>
      <c r="D26">
        <v>56.3</v>
      </c>
      <c r="E26">
        <v>0.65400000000000003</v>
      </c>
      <c r="F26">
        <v>156.4</v>
      </c>
      <c r="G26">
        <v>20.3</v>
      </c>
      <c r="H26" s="1" t="s">
        <v>10</v>
      </c>
    </row>
    <row r="27" spans="1:8" x14ac:dyDescent="0.3">
      <c r="A27" s="1" t="s">
        <v>8</v>
      </c>
      <c r="B27" s="1" t="s">
        <v>9</v>
      </c>
      <c r="C27" s="1" t="s">
        <v>10</v>
      </c>
      <c r="D27">
        <v>56</v>
      </c>
      <c r="E27">
        <v>0.73299999999999998</v>
      </c>
      <c r="F27">
        <v>180.92</v>
      </c>
      <c r="G27">
        <v>20.6</v>
      </c>
      <c r="H27" s="1" t="s">
        <v>10</v>
      </c>
    </row>
    <row r="28" spans="1:8" x14ac:dyDescent="0.3">
      <c r="A28" s="1" t="s">
        <v>8</v>
      </c>
      <c r="B28" s="1" t="s">
        <v>9</v>
      </c>
      <c r="C28" s="1" t="s">
        <v>14</v>
      </c>
      <c r="D28">
        <v>56</v>
      </c>
      <c r="E28">
        <v>0.74099999999999999</v>
      </c>
      <c r="F28">
        <v>173.03</v>
      </c>
      <c r="G28">
        <v>20</v>
      </c>
      <c r="H28" s="1" t="s">
        <v>8</v>
      </c>
    </row>
    <row r="29" spans="1:8" x14ac:dyDescent="0.3">
      <c r="A29" s="1" t="s">
        <v>8</v>
      </c>
      <c r="B29" s="1" t="s">
        <v>9</v>
      </c>
      <c r="C29" s="1" t="s">
        <v>13</v>
      </c>
      <c r="D29">
        <v>57.1</v>
      </c>
      <c r="E29">
        <v>0.75900000000000001</v>
      </c>
      <c r="F29">
        <v>173.06</v>
      </c>
      <c r="G29">
        <v>19.3</v>
      </c>
      <c r="H29" s="1" t="s">
        <v>8</v>
      </c>
    </row>
    <row r="30" spans="1:8" x14ac:dyDescent="0.3">
      <c r="A30" s="1" t="s">
        <v>8</v>
      </c>
      <c r="B30" s="1" t="s">
        <v>9</v>
      </c>
      <c r="C30" s="1" t="s">
        <v>14</v>
      </c>
      <c r="D30">
        <v>57.6</v>
      </c>
      <c r="E30">
        <v>0.71899999999999997</v>
      </c>
      <c r="F30">
        <v>172.94</v>
      </c>
      <c r="G30">
        <v>18.899999999999999</v>
      </c>
      <c r="H30" s="1" t="s">
        <v>8</v>
      </c>
    </row>
    <row r="31" spans="1:8" x14ac:dyDescent="0.3">
      <c r="A31" s="1" t="s">
        <v>8</v>
      </c>
      <c r="B31" s="1" t="s">
        <v>9</v>
      </c>
      <c r="C31" s="1" t="s">
        <v>12</v>
      </c>
      <c r="D31">
        <v>57.5</v>
      </c>
      <c r="E31">
        <v>0.73199999999999998</v>
      </c>
      <c r="F31">
        <v>172.87</v>
      </c>
      <c r="G31">
        <v>19.2</v>
      </c>
      <c r="H31" s="1" t="s">
        <v>8</v>
      </c>
    </row>
    <row r="32" spans="1:8" x14ac:dyDescent="0.3">
      <c r="A32" s="1" t="s">
        <v>8</v>
      </c>
      <c r="B32" s="1" t="s">
        <v>9</v>
      </c>
      <c r="C32" s="1" t="s">
        <v>10</v>
      </c>
      <c r="D32">
        <v>57.8</v>
      </c>
      <c r="E32">
        <v>0.72499999999999998</v>
      </c>
      <c r="F32">
        <v>172.72</v>
      </c>
      <c r="G32">
        <v>19.2</v>
      </c>
      <c r="H32" s="1" t="s">
        <v>8</v>
      </c>
    </row>
    <row r="33" spans="1:8" x14ac:dyDescent="0.3">
      <c r="A33" s="1" t="s">
        <v>8</v>
      </c>
      <c r="B33" s="1" t="s">
        <v>9</v>
      </c>
      <c r="C33" s="1" t="s">
        <v>12</v>
      </c>
      <c r="D33">
        <v>57.2</v>
      </c>
      <c r="E33">
        <v>0.77400000000000002</v>
      </c>
      <c r="F33">
        <v>173.32</v>
      </c>
      <c r="G33">
        <v>19.100000000000001</v>
      </c>
      <c r="H33" s="1" t="s">
        <v>10</v>
      </c>
    </row>
    <row r="34" spans="1:8" x14ac:dyDescent="0.3">
      <c r="A34" s="1" t="s">
        <v>8</v>
      </c>
      <c r="B34" s="1" t="s">
        <v>11</v>
      </c>
      <c r="C34" s="1" t="s">
        <v>10</v>
      </c>
      <c r="D34">
        <v>57</v>
      </c>
      <c r="E34">
        <v>0.74099999999999999</v>
      </c>
      <c r="F34">
        <v>156.6</v>
      </c>
      <c r="G34">
        <v>19</v>
      </c>
      <c r="H34" s="1" t="s">
        <v>10</v>
      </c>
    </row>
    <row r="35" spans="1:8" x14ac:dyDescent="0.3">
      <c r="A35" s="1" t="s">
        <v>8</v>
      </c>
      <c r="B35" s="1" t="s">
        <v>9</v>
      </c>
      <c r="C35" s="1" t="s">
        <v>14</v>
      </c>
      <c r="D35">
        <v>56.3</v>
      </c>
      <c r="E35">
        <v>0.72799999999999998</v>
      </c>
      <c r="F35">
        <v>173.06</v>
      </c>
      <c r="G35">
        <v>19.600000000000001</v>
      </c>
      <c r="H35" s="1" t="s">
        <v>8</v>
      </c>
    </row>
    <row r="36" spans="1:8" x14ac:dyDescent="0.3">
      <c r="A36" s="1" t="s">
        <v>8</v>
      </c>
      <c r="B36" s="1" t="s">
        <v>9</v>
      </c>
      <c r="C36" s="1" t="s">
        <v>12</v>
      </c>
      <c r="D36">
        <v>57.2</v>
      </c>
      <c r="E36">
        <v>0.70599999999999996</v>
      </c>
      <c r="F36">
        <v>166.57</v>
      </c>
      <c r="G36">
        <v>18.8</v>
      </c>
      <c r="H36" s="1" t="s">
        <v>8</v>
      </c>
    </row>
    <row r="37" spans="1:8" x14ac:dyDescent="0.3">
      <c r="A37" s="1" t="s">
        <v>8</v>
      </c>
      <c r="B37" s="1" t="s">
        <v>9</v>
      </c>
      <c r="C37" s="1" t="s">
        <v>10</v>
      </c>
      <c r="D37">
        <v>57.2</v>
      </c>
      <c r="E37">
        <v>0.72499999999999998</v>
      </c>
      <c r="F37">
        <v>172.58</v>
      </c>
      <c r="G37">
        <v>18.899999999999999</v>
      </c>
      <c r="H37" s="1" t="s">
        <v>8</v>
      </c>
    </row>
    <row r="38" spans="1:8" x14ac:dyDescent="0.3">
      <c r="A38" s="1" t="s">
        <v>8</v>
      </c>
      <c r="B38" s="1" t="s">
        <v>9</v>
      </c>
      <c r="C38" s="1" t="s">
        <v>12</v>
      </c>
      <c r="D38">
        <v>57.2</v>
      </c>
      <c r="E38">
        <v>0.69699999999999995</v>
      </c>
      <c r="F38">
        <v>166.75</v>
      </c>
      <c r="G38">
        <v>18.8</v>
      </c>
      <c r="H38" s="1" t="s">
        <v>8</v>
      </c>
    </row>
    <row r="39" spans="1:8" x14ac:dyDescent="0.3">
      <c r="A39" s="1" t="s">
        <v>8</v>
      </c>
      <c r="B39" s="1" t="s">
        <v>9</v>
      </c>
      <c r="C39" s="1" t="s">
        <v>10</v>
      </c>
      <c r="D39">
        <v>57.1</v>
      </c>
      <c r="E39">
        <v>0.71899999999999997</v>
      </c>
      <c r="F39">
        <v>172.86</v>
      </c>
      <c r="G39">
        <v>18.7</v>
      </c>
      <c r="H39" s="1" t="s">
        <v>8</v>
      </c>
    </row>
    <row r="40" spans="1:8" x14ac:dyDescent="0.3">
      <c r="A40" s="1" t="s">
        <v>8</v>
      </c>
      <c r="B40" s="1" t="s">
        <v>11</v>
      </c>
      <c r="C40" s="1" t="s">
        <v>12</v>
      </c>
      <c r="D40">
        <v>56.6</v>
      </c>
      <c r="E40">
        <v>0.66</v>
      </c>
      <c r="F40">
        <v>156.31</v>
      </c>
      <c r="G40">
        <v>18.600000000000001</v>
      </c>
      <c r="H40" s="1" t="s">
        <v>10</v>
      </c>
    </row>
    <row r="41" spans="1:8" x14ac:dyDescent="0.3">
      <c r="A41" s="1" t="s">
        <v>8</v>
      </c>
      <c r="B41" s="1" t="s">
        <v>11</v>
      </c>
      <c r="C41" s="1" t="s">
        <v>10</v>
      </c>
      <c r="D41">
        <v>55.9</v>
      </c>
      <c r="E41">
        <v>0.64600000000000002</v>
      </c>
      <c r="F41">
        <v>156.32</v>
      </c>
      <c r="G41">
        <v>20.100000000000001</v>
      </c>
      <c r="H41" s="1" t="s">
        <v>10</v>
      </c>
    </row>
    <row r="42" spans="1:8" x14ac:dyDescent="0.3">
      <c r="A42" s="1" t="s">
        <v>15</v>
      </c>
      <c r="B42" s="1" t="s">
        <v>11</v>
      </c>
      <c r="C42" s="1" t="s">
        <v>10</v>
      </c>
      <c r="D42">
        <v>51.2</v>
      </c>
      <c r="E42">
        <v>0.59199999999999997</v>
      </c>
      <c r="F42">
        <v>157.09</v>
      </c>
      <c r="G42">
        <v>27</v>
      </c>
      <c r="H42" s="1" t="s">
        <v>10</v>
      </c>
    </row>
    <row r="43" spans="1:8" x14ac:dyDescent="0.3">
      <c r="A43" s="1" t="s">
        <v>15</v>
      </c>
      <c r="B43" s="1" t="s">
        <v>11</v>
      </c>
      <c r="C43" s="1" t="s">
        <v>10</v>
      </c>
      <c r="D43">
        <v>48.1</v>
      </c>
      <c r="E43">
        <v>0.59499999999999997</v>
      </c>
      <c r="F43">
        <v>157.86000000000001</v>
      </c>
      <c r="G43">
        <v>26.3</v>
      </c>
      <c r="H43" s="1" t="s">
        <v>10</v>
      </c>
    </row>
    <row r="44" spans="1:8" x14ac:dyDescent="0.3">
      <c r="A44" s="1" t="s">
        <v>15</v>
      </c>
      <c r="B44" s="1" t="s">
        <v>11</v>
      </c>
      <c r="C44" s="1" t="s">
        <v>10</v>
      </c>
      <c r="D44">
        <v>47.4</v>
      </c>
      <c r="E44">
        <v>0.59599999999999997</v>
      </c>
      <c r="F44">
        <v>158.09</v>
      </c>
      <c r="G44">
        <v>26.3</v>
      </c>
      <c r="H44" s="1" t="s">
        <v>10</v>
      </c>
    </row>
    <row r="45" spans="1:8" x14ac:dyDescent="0.3">
      <c r="A45" s="1" t="s">
        <v>15</v>
      </c>
      <c r="B45" s="1" t="s">
        <v>11</v>
      </c>
      <c r="C45" s="1" t="s">
        <v>10</v>
      </c>
      <c r="D45">
        <v>47.1</v>
      </c>
      <c r="E45">
        <v>0.59699999999999998</v>
      </c>
      <c r="F45">
        <v>158.16</v>
      </c>
      <c r="G45">
        <v>26.3</v>
      </c>
      <c r="H45" s="1" t="s">
        <v>10</v>
      </c>
    </row>
    <row r="46" spans="1:8" x14ac:dyDescent="0.3">
      <c r="A46" s="1" t="s">
        <v>15</v>
      </c>
      <c r="B46" s="1" t="s">
        <v>11</v>
      </c>
      <c r="C46" s="1" t="s">
        <v>10</v>
      </c>
      <c r="D46">
        <v>46.9</v>
      </c>
      <c r="E46">
        <v>0.59399999999999997</v>
      </c>
      <c r="F46">
        <v>158.24</v>
      </c>
      <c r="G46">
        <v>26.2</v>
      </c>
      <c r="H46" s="1" t="s">
        <v>10</v>
      </c>
    </row>
    <row r="47" spans="1:8" x14ac:dyDescent="0.3">
      <c r="A47" s="1" t="s">
        <v>15</v>
      </c>
      <c r="B47" s="1" t="s">
        <v>11</v>
      </c>
      <c r="C47" s="1" t="s">
        <v>10</v>
      </c>
      <c r="D47">
        <v>46.8</v>
      </c>
      <c r="E47">
        <v>0.59299999999999997</v>
      </c>
      <c r="F47">
        <v>158.25</v>
      </c>
      <c r="G47">
        <v>26.2</v>
      </c>
      <c r="H47" s="1" t="s">
        <v>10</v>
      </c>
    </row>
    <row r="48" spans="1:8" x14ac:dyDescent="0.3">
      <c r="A48" s="1" t="s">
        <v>15</v>
      </c>
      <c r="B48" s="1" t="s">
        <v>11</v>
      </c>
      <c r="C48" s="1" t="s">
        <v>10</v>
      </c>
      <c r="D48">
        <v>46.7</v>
      </c>
      <c r="E48">
        <v>0.60399999999999998</v>
      </c>
      <c r="F48">
        <v>158.30000000000001</v>
      </c>
      <c r="G48">
        <v>26.4</v>
      </c>
      <c r="H48" s="1" t="s">
        <v>10</v>
      </c>
    </row>
    <row r="49" spans="1:8" x14ac:dyDescent="0.3">
      <c r="A49" s="1" t="s">
        <v>15</v>
      </c>
      <c r="B49" s="1" t="s">
        <v>11</v>
      </c>
      <c r="C49" s="1" t="s">
        <v>10</v>
      </c>
      <c r="D49">
        <v>46.6</v>
      </c>
      <c r="E49">
        <v>0.60099999999999998</v>
      </c>
      <c r="F49">
        <v>158.32</v>
      </c>
      <c r="G49">
        <v>26.3</v>
      </c>
      <c r="H49" s="1" t="s">
        <v>10</v>
      </c>
    </row>
    <row r="50" spans="1:8" x14ac:dyDescent="0.3">
      <c r="A50" s="1" t="s">
        <v>15</v>
      </c>
      <c r="B50" s="1" t="s">
        <v>11</v>
      </c>
      <c r="C50" s="1" t="s">
        <v>10</v>
      </c>
      <c r="D50">
        <v>46.5</v>
      </c>
      <c r="E50">
        <v>0.61399999999999999</v>
      </c>
      <c r="F50">
        <v>158.30000000000001</v>
      </c>
      <c r="G50">
        <v>26.5</v>
      </c>
      <c r="H50" s="1" t="s">
        <v>10</v>
      </c>
    </row>
    <row r="51" spans="1:8" x14ac:dyDescent="0.3">
      <c r="A51" s="1" t="s">
        <v>15</v>
      </c>
      <c r="B51" s="1" t="s">
        <v>11</v>
      </c>
      <c r="C51" s="1" t="s">
        <v>10</v>
      </c>
      <c r="D51">
        <v>46.5</v>
      </c>
      <c r="E51">
        <v>0.61</v>
      </c>
      <c r="F51">
        <v>158.35</v>
      </c>
      <c r="G51">
        <v>26.8</v>
      </c>
      <c r="H51" s="1" t="s">
        <v>10</v>
      </c>
    </row>
    <row r="52" spans="1:8" x14ac:dyDescent="0.3">
      <c r="A52" s="1" t="s">
        <v>15</v>
      </c>
      <c r="B52" s="1" t="s">
        <v>11</v>
      </c>
      <c r="C52" s="1" t="s">
        <v>10</v>
      </c>
      <c r="D52">
        <v>46.4</v>
      </c>
      <c r="E52">
        <v>0.622</v>
      </c>
      <c r="F52">
        <v>158.38999999999999</v>
      </c>
      <c r="G52">
        <v>26.5</v>
      </c>
      <c r="H52" s="1" t="s">
        <v>10</v>
      </c>
    </row>
    <row r="53" spans="1:8" x14ac:dyDescent="0.3">
      <c r="A53" s="1" t="s">
        <v>15</v>
      </c>
      <c r="B53" s="1" t="s">
        <v>11</v>
      </c>
      <c r="C53" s="1" t="s">
        <v>14</v>
      </c>
      <c r="D53">
        <v>46.1</v>
      </c>
      <c r="E53">
        <v>0.61699999999999999</v>
      </c>
      <c r="F53">
        <v>158.1</v>
      </c>
      <c r="G53">
        <v>26.7</v>
      </c>
      <c r="H53" s="1" t="s">
        <v>8</v>
      </c>
    </row>
    <row r="54" spans="1:8" x14ac:dyDescent="0.3">
      <c r="A54" s="1" t="s">
        <v>15</v>
      </c>
      <c r="B54" s="1" t="s">
        <v>11</v>
      </c>
      <c r="C54" s="1" t="s">
        <v>13</v>
      </c>
      <c r="D54">
        <v>46</v>
      </c>
      <c r="E54">
        <v>0.627</v>
      </c>
      <c r="F54">
        <v>157.91999999999999</v>
      </c>
      <c r="G54">
        <v>26.9</v>
      </c>
      <c r="H54" s="1" t="s">
        <v>8</v>
      </c>
    </row>
    <row r="55" spans="1:8" x14ac:dyDescent="0.3">
      <c r="A55" s="1" t="s">
        <v>15</v>
      </c>
      <c r="B55" s="1" t="s">
        <v>11</v>
      </c>
      <c r="C55" s="1" t="s">
        <v>10</v>
      </c>
      <c r="D55">
        <v>46</v>
      </c>
      <c r="E55">
        <v>0.622</v>
      </c>
      <c r="F55">
        <v>157.87</v>
      </c>
      <c r="G55">
        <v>27.2</v>
      </c>
      <c r="H55" s="1" t="s">
        <v>8</v>
      </c>
    </row>
    <row r="56" spans="1:8" x14ac:dyDescent="0.3">
      <c r="A56" s="1" t="s">
        <v>15</v>
      </c>
      <c r="B56" s="1" t="s">
        <v>11</v>
      </c>
      <c r="C56" s="1" t="s">
        <v>12</v>
      </c>
      <c r="D56">
        <v>45.9</v>
      </c>
      <c r="E56">
        <v>0.629</v>
      </c>
      <c r="F56">
        <v>158.30000000000001</v>
      </c>
      <c r="G56">
        <v>27.4</v>
      </c>
      <c r="H56" s="1" t="s">
        <v>8</v>
      </c>
    </row>
    <row r="57" spans="1:8" x14ac:dyDescent="0.3">
      <c r="A57" s="1" t="s">
        <v>15</v>
      </c>
      <c r="B57" s="1" t="s">
        <v>11</v>
      </c>
      <c r="C57" s="1" t="s">
        <v>10</v>
      </c>
      <c r="D57">
        <v>45.7</v>
      </c>
      <c r="E57">
        <v>0.629</v>
      </c>
      <c r="F57">
        <v>158.24</v>
      </c>
      <c r="G57">
        <v>27.7</v>
      </c>
      <c r="H57" s="1" t="s">
        <v>8</v>
      </c>
    </row>
    <row r="58" spans="1:8" x14ac:dyDescent="0.3">
      <c r="A58" s="1" t="s">
        <v>15</v>
      </c>
      <c r="B58" s="1" t="s">
        <v>11</v>
      </c>
      <c r="C58" s="1" t="s">
        <v>12</v>
      </c>
      <c r="D58">
        <v>45.7</v>
      </c>
      <c r="E58">
        <v>0.624</v>
      </c>
      <c r="F58">
        <v>158.78</v>
      </c>
      <c r="G58">
        <v>28.2</v>
      </c>
      <c r="H58" s="1" t="s">
        <v>10</v>
      </c>
    </row>
    <row r="59" spans="1:8" x14ac:dyDescent="0.3">
      <c r="A59" s="1" t="s">
        <v>15</v>
      </c>
      <c r="B59" s="1" t="s">
        <v>11</v>
      </c>
      <c r="C59" s="1" t="s">
        <v>10</v>
      </c>
      <c r="D59">
        <v>45.6</v>
      </c>
      <c r="E59">
        <v>0.61099999999999999</v>
      </c>
      <c r="F59">
        <v>158.63999999999999</v>
      </c>
      <c r="G59">
        <v>28.1</v>
      </c>
      <c r="H59" s="1" t="s">
        <v>10</v>
      </c>
    </row>
    <row r="60" spans="1:8" x14ac:dyDescent="0.3">
      <c r="A60" s="1" t="s">
        <v>15</v>
      </c>
      <c r="B60" s="1" t="s">
        <v>11</v>
      </c>
      <c r="C60" s="1" t="s">
        <v>10</v>
      </c>
      <c r="D60">
        <v>45.4</v>
      </c>
      <c r="E60">
        <v>0.60399999999999998</v>
      </c>
      <c r="F60">
        <v>158.65</v>
      </c>
      <c r="G60">
        <v>27.8</v>
      </c>
      <c r="H60" s="1" t="s">
        <v>10</v>
      </c>
    </row>
    <row r="61" spans="1:8" x14ac:dyDescent="0.3">
      <c r="A61" s="1" t="s">
        <v>15</v>
      </c>
      <c r="B61" s="1" t="s">
        <v>11</v>
      </c>
      <c r="C61" s="1" t="s">
        <v>12</v>
      </c>
      <c r="D61">
        <v>45</v>
      </c>
      <c r="E61">
        <v>0.61399999999999999</v>
      </c>
      <c r="F61">
        <v>158.22</v>
      </c>
      <c r="G61">
        <v>27.8</v>
      </c>
      <c r="H61" s="1" t="s">
        <v>8</v>
      </c>
    </row>
    <row r="62" spans="1:8" x14ac:dyDescent="0.3">
      <c r="A62" s="1" t="s">
        <v>15</v>
      </c>
      <c r="B62" s="1" t="s">
        <v>11</v>
      </c>
      <c r="C62" s="1" t="s">
        <v>10</v>
      </c>
      <c r="D62">
        <v>44.8</v>
      </c>
      <c r="E62">
        <v>0.61399999999999999</v>
      </c>
      <c r="F62">
        <v>158.12</v>
      </c>
      <c r="G62">
        <v>27.7</v>
      </c>
      <c r="H62" s="1" t="s">
        <v>8</v>
      </c>
    </row>
    <row r="63" spans="1:8" x14ac:dyDescent="0.3">
      <c r="A63" s="1" t="s">
        <v>15</v>
      </c>
      <c r="B63" s="1" t="s">
        <v>11</v>
      </c>
      <c r="C63" s="1" t="s">
        <v>12</v>
      </c>
      <c r="D63">
        <v>44.8</v>
      </c>
      <c r="E63">
        <v>0.61599999999999999</v>
      </c>
      <c r="F63">
        <v>158.55000000000001</v>
      </c>
      <c r="G63">
        <v>27.5</v>
      </c>
      <c r="H63" s="1" t="s">
        <v>8</v>
      </c>
    </row>
    <row r="64" spans="1:8" x14ac:dyDescent="0.3">
      <c r="A64" s="1" t="s">
        <v>15</v>
      </c>
      <c r="B64" s="1" t="s">
        <v>11</v>
      </c>
      <c r="C64" s="1" t="s">
        <v>10</v>
      </c>
      <c r="D64">
        <v>44.6</v>
      </c>
      <c r="E64">
        <v>0.61299999999999999</v>
      </c>
      <c r="F64">
        <v>158.47999999999999</v>
      </c>
      <c r="G64">
        <v>27.8</v>
      </c>
      <c r="H64" s="1" t="s">
        <v>8</v>
      </c>
    </row>
    <row r="65" spans="1:8" x14ac:dyDescent="0.3">
      <c r="A65" s="1" t="s">
        <v>15</v>
      </c>
      <c r="B65" s="1" t="s">
        <v>11</v>
      </c>
      <c r="C65" s="1" t="s">
        <v>14</v>
      </c>
      <c r="D65">
        <v>44.6</v>
      </c>
      <c r="E65">
        <v>0.60899999999999999</v>
      </c>
      <c r="F65">
        <v>159.12</v>
      </c>
      <c r="G65">
        <v>27.6</v>
      </c>
      <c r="H65" s="1" t="s">
        <v>10</v>
      </c>
    </row>
    <row r="66" spans="1:8" x14ac:dyDescent="0.3">
      <c r="A66" s="1" t="s">
        <v>15</v>
      </c>
      <c r="B66" s="1" t="s">
        <v>11</v>
      </c>
      <c r="C66" s="1" t="s">
        <v>13</v>
      </c>
      <c r="D66">
        <v>44.6</v>
      </c>
      <c r="E66">
        <v>0.61199999999999999</v>
      </c>
      <c r="F66">
        <v>158.96</v>
      </c>
      <c r="G66">
        <v>27.6</v>
      </c>
      <c r="H66" s="1" t="s">
        <v>10</v>
      </c>
    </row>
    <row r="67" spans="1:8" x14ac:dyDescent="0.3">
      <c r="A67" s="1" t="s">
        <v>15</v>
      </c>
      <c r="B67" s="1" t="s">
        <v>11</v>
      </c>
      <c r="C67" s="1" t="s">
        <v>10</v>
      </c>
      <c r="D67">
        <v>44.4</v>
      </c>
      <c r="E67">
        <v>0.60299999999999998</v>
      </c>
      <c r="F67">
        <v>158.93</v>
      </c>
      <c r="G67">
        <v>27.6</v>
      </c>
      <c r="H67" s="1" t="s">
        <v>10</v>
      </c>
    </row>
    <row r="68" spans="1:8" x14ac:dyDescent="0.3">
      <c r="A68" s="1" t="s">
        <v>15</v>
      </c>
      <c r="B68" s="1" t="s">
        <v>9</v>
      </c>
      <c r="C68" s="1" t="s">
        <v>12</v>
      </c>
      <c r="D68">
        <v>44.1</v>
      </c>
      <c r="E68">
        <v>0.623</v>
      </c>
      <c r="F68">
        <v>158.44999999999999</v>
      </c>
      <c r="G68">
        <v>27.4</v>
      </c>
      <c r="H68" s="1" t="s">
        <v>8</v>
      </c>
    </row>
    <row r="69" spans="1:8" x14ac:dyDescent="0.3">
      <c r="A69" s="1" t="s">
        <v>15</v>
      </c>
      <c r="B69" s="1" t="s">
        <v>9</v>
      </c>
      <c r="C69" s="1" t="s">
        <v>10</v>
      </c>
      <c r="D69">
        <v>44.1</v>
      </c>
      <c r="E69">
        <v>0.61599999999999999</v>
      </c>
      <c r="F69">
        <v>158.38</v>
      </c>
      <c r="G69">
        <v>27.3</v>
      </c>
      <c r="H69" s="1" t="s">
        <v>8</v>
      </c>
    </row>
    <row r="70" spans="1:8" x14ac:dyDescent="0.3">
      <c r="A70" s="1" t="s">
        <v>15</v>
      </c>
      <c r="B70" s="1" t="s">
        <v>11</v>
      </c>
      <c r="C70" s="1" t="s">
        <v>14</v>
      </c>
      <c r="D70">
        <v>44.1</v>
      </c>
      <c r="E70">
        <v>0.61699999999999999</v>
      </c>
      <c r="F70">
        <v>158.85</v>
      </c>
      <c r="G70">
        <v>27.9</v>
      </c>
      <c r="H70" s="1" t="s">
        <v>8</v>
      </c>
    </row>
    <row r="71" spans="1:8" x14ac:dyDescent="0.3">
      <c r="A71" s="1" t="s">
        <v>15</v>
      </c>
      <c r="B71" s="1" t="s">
        <v>11</v>
      </c>
      <c r="C71" s="1" t="s">
        <v>13</v>
      </c>
      <c r="D71">
        <v>44.1</v>
      </c>
      <c r="E71">
        <v>0.61299999999999999</v>
      </c>
      <c r="F71">
        <v>158.69</v>
      </c>
      <c r="G71">
        <v>27.5</v>
      </c>
      <c r="H71" s="1" t="s">
        <v>8</v>
      </c>
    </row>
    <row r="72" spans="1:8" x14ac:dyDescent="0.3">
      <c r="A72" s="1" t="s">
        <v>15</v>
      </c>
      <c r="B72" s="1" t="s">
        <v>11</v>
      </c>
      <c r="C72" s="1" t="s">
        <v>14</v>
      </c>
      <c r="D72">
        <v>44.3</v>
      </c>
      <c r="E72">
        <v>0.61199999999999999</v>
      </c>
      <c r="F72">
        <v>159.22999999999999</v>
      </c>
      <c r="G72">
        <v>27.3</v>
      </c>
      <c r="H72" s="1" t="s">
        <v>10</v>
      </c>
    </row>
    <row r="73" spans="1:8" x14ac:dyDescent="0.3">
      <c r="A73" s="1" t="s">
        <v>15</v>
      </c>
      <c r="B73" s="1" t="s">
        <v>11</v>
      </c>
      <c r="C73" s="1" t="s">
        <v>13</v>
      </c>
      <c r="D73">
        <v>44.3</v>
      </c>
      <c r="E73">
        <v>0.60199999999999998</v>
      </c>
      <c r="F73">
        <v>159.05000000000001</v>
      </c>
      <c r="G73">
        <v>27.4</v>
      </c>
      <c r="H73" s="1" t="s">
        <v>10</v>
      </c>
    </row>
    <row r="74" spans="1:8" x14ac:dyDescent="0.3">
      <c r="A74" s="1" t="s">
        <v>15</v>
      </c>
      <c r="B74" s="1" t="s">
        <v>11</v>
      </c>
      <c r="C74" s="1" t="s">
        <v>10</v>
      </c>
      <c r="D74">
        <v>44.3</v>
      </c>
      <c r="E74">
        <v>0.60399999999999998</v>
      </c>
      <c r="F74">
        <v>158.99</v>
      </c>
      <c r="G74">
        <v>27.5</v>
      </c>
      <c r="H74" s="1" t="s">
        <v>10</v>
      </c>
    </row>
    <row r="75" spans="1:8" x14ac:dyDescent="0.3">
      <c r="A75" s="1" t="s">
        <v>15</v>
      </c>
      <c r="B75" s="1" t="s">
        <v>9</v>
      </c>
      <c r="C75" s="1" t="s">
        <v>12</v>
      </c>
      <c r="D75">
        <v>44</v>
      </c>
      <c r="E75">
        <v>0.60799999999999998</v>
      </c>
      <c r="F75">
        <v>158.52000000000001</v>
      </c>
      <c r="G75">
        <v>27.3</v>
      </c>
      <c r="H75" s="1" t="s">
        <v>8</v>
      </c>
    </row>
    <row r="76" spans="1:8" x14ac:dyDescent="0.3">
      <c r="A76" s="1" t="s">
        <v>15</v>
      </c>
      <c r="B76" s="1" t="s">
        <v>11</v>
      </c>
      <c r="C76" s="1" t="s">
        <v>13</v>
      </c>
      <c r="D76">
        <v>44</v>
      </c>
      <c r="E76">
        <v>0.61799999999999999</v>
      </c>
      <c r="F76">
        <v>158.46</v>
      </c>
      <c r="G76">
        <v>27.7</v>
      </c>
      <c r="H76" s="1" t="s">
        <v>8</v>
      </c>
    </row>
    <row r="77" spans="1:8" x14ac:dyDescent="0.3">
      <c r="A77" s="1" t="s">
        <v>15</v>
      </c>
      <c r="B77" s="1" t="s">
        <v>11</v>
      </c>
      <c r="C77" s="1" t="s">
        <v>14</v>
      </c>
      <c r="D77">
        <v>44.1</v>
      </c>
      <c r="E77">
        <v>0.60599999999999998</v>
      </c>
      <c r="F77">
        <v>158.85</v>
      </c>
      <c r="G77">
        <v>27.8</v>
      </c>
      <c r="H77" s="1" t="s">
        <v>8</v>
      </c>
    </row>
    <row r="78" spans="1:8" x14ac:dyDescent="0.3">
      <c r="A78" s="1" t="s">
        <v>15</v>
      </c>
      <c r="B78" s="1" t="s">
        <v>11</v>
      </c>
      <c r="C78" s="1" t="s">
        <v>13</v>
      </c>
      <c r="D78">
        <v>44.1</v>
      </c>
      <c r="E78">
        <v>0.60899999999999999</v>
      </c>
      <c r="F78">
        <v>158.69</v>
      </c>
      <c r="G78">
        <v>27.2</v>
      </c>
      <c r="H78" s="1" t="s">
        <v>8</v>
      </c>
    </row>
    <row r="79" spans="1:8" x14ac:dyDescent="0.3">
      <c r="A79" s="1" t="s">
        <v>15</v>
      </c>
      <c r="B79" s="1" t="s">
        <v>11</v>
      </c>
      <c r="C79" s="1" t="s">
        <v>14</v>
      </c>
      <c r="D79">
        <v>44.4</v>
      </c>
      <c r="E79">
        <v>0.61199999999999999</v>
      </c>
      <c r="F79">
        <v>159.24</v>
      </c>
      <c r="G79">
        <v>27.5</v>
      </c>
      <c r="H79" s="1" t="s">
        <v>10</v>
      </c>
    </row>
    <row r="80" spans="1:8" x14ac:dyDescent="0.3">
      <c r="A80" s="1" t="s">
        <v>15</v>
      </c>
      <c r="B80" s="1" t="s">
        <v>11</v>
      </c>
      <c r="C80" s="1" t="s">
        <v>13</v>
      </c>
      <c r="D80">
        <v>44.5</v>
      </c>
      <c r="E80">
        <v>0.60699999999999998</v>
      </c>
      <c r="F80">
        <v>159.07</v>
      </c>
      <c r="G80">
        <v>27.6</v>
      </c>
      <c r="H80" s="1" t="s">
        <v>10</v>
      </c>
    </row>
    <row r="81" spans="1:8" x14ac:dyDescent="0.3">
      <c r="A81" s="1" t="s">
        <v>15</v>
      </c>
      <c r="B81" s="1" t="s">
        <v>11</v>
      </c>
      <c r="C81" s="1" t="s">
        <v>10</v>
      </c>
      <c r="D81">
        <v>44.8</v>
      </c>
      <c r="E81">
        <v>0.59599999999999997</v>
      </c>
      <c r="F81">
        <v>158.96</v>
      </c>
      <c r="G81">
        <v>27.9</v>
      </c>
      <c r="H81" s="1" t="s">
        <v>10</v>
      </c>
    </row>
    <row r="82" spans="1:8" x14ac:dyDescent="0.3">
      <c r="A82" s="1" t="s">
        <v>10</v>
      </c>
      <c r="B82" s="1" t="s">
        <v>9</v>
      </c>
      <c r="C82" s="1" t="s">
        <v>10</v>
      </c>
      <c r="D82">
        <v>36.200000000000003</v>
      </c>
      <c r="E82">
        <v>0.56299999999999994</v>
      </c>
      <c r="F82">
        <v>160.72</v>
      </c>
      <c r="G82">
        <v>47.3</v>
      </c>
      <c r="H82" s="1" t="s">
        <v>10</v>
      </c>
    </row>
    <row r="83" spans="1:8" x14ac:dyDescent="0.3">
      <c r="A83" s="1" t="s">
        <v>10</v>
      </c>
      <c r="B83" s="1" t="s">
        <v>9</v>
      </c>
      <c r="C83" s="1" t="s">
        <v>10</v>
      </c>
      <c r="D83">
        <v>35.5</v>
      </c>
      <c r="E83">
        <v>0.56100000000000005</v>
      </c>
      <c r="F83">
        <v>160.97</v>
      </c>
      <c r="G83">
        <v>46.5</v>
      </c>
      <c r="H83" s="1" t="s">
        <v>10</v>
      </c>
    </row>
    <row r="84" spans="1:8" x14ac:dyDescent="0.3">
      <c r="A84" s="1" t="s">
        <v>10</v>
      </c>
      <c r="B84" s="1" t="s">
        <v>9</v>
      </c>
      <c r="C84" s="1" t="s">
        <v>10</v>
      </c>
      <c r="D84">
        <v>35.4</v>
      </c>
      <c r="E84">
        <v>0.56599999999999995</v>
      </c>
      <c r="F84">
        <v>161</v>
      </c>
      <c r="G84">
        <v>46.6</v>
      </c>
      <c r="H84" s="1" t="s">
        <v>10</v>
      </c>
    </row>
    <row r="85" spans="1:8" x14ac:dyDescent="0.3">
      <c r="A85" s="1" t="s">
        <v>10</v>
      </c>
      <c r="B85" s="1" t="s">
        <v>9</v>
      </c>
      <c r="C85" s="1" t="s">
        <v>10</v>
      </c>
      <c r="D85">
        <v>35.4</v>
      </c>
      <c r="E85">
        <v>0.56100000000000005</v>
      </c>
      <c r="F85">
        <v>161.04</v>
      </c>
      <c r="G85">
        <v>46.4</v>
      </c>
      <c r="H85" s="1" t="s">
        <v>10</v>
      </c>
    </row>
    <row r="86" spans="1:8" x14ac:dyDescent="0.3">
      <c r="A86" s="1" t="s">
        <v>10</v>
      </c>
      <c r="B86" s="1" t="s">
        <v>9</v>
      </c>
      <c r="C86" s="1" t="s">
        <v>10</v>
      </c>
      <c r="D86">
        <v>35.5</v>
      </c>
      <c r="E86">
        <v>0.56200000000000006</v>
      </c>
      <c r="F86">
        <v>161.01</v>
      </c>
      <c r="G86">
        <v>46.7</v>
      </c>
      <c r="H86" s="1" t="s">
        <v>10</v>
      </c>
    </row>
    <row r="87" spans="1:8" x14ac:dyDescent="0.3">
      <c r="A87" s="1" t="s">
        <v>10</v>
      </c>
      <c r="B87" s="1" t="s">
        <v>9</v>
      </c>
      <c r="C87" s="1" t="s">
        <v>10</v>
      </c>
      <c r="D87">
        <v>35.5</v>
      </c>
      <c r="E87">
        <v>0.56399999999999995</v>
      </c>
      <c r="F87">
        <v>161.03</v>
      </c>
      <c r="G87">
        <v>46.7</v>
      </c>
      <c r="H87" s="1" t="s">
        <v>10</v>
      </c>
    </row>
    <row r="88" spans="1:8" x14ac:dyDescent="0.3">
      <c r="A88" s="1" t="s">
        <v>10</v>
      </c>
      <c r="B88" s="1" t="s">
        <v>9</v>
      </c>
      <c r="C88" s="1" t="s">
        <v>10</v>
      </c>
      <c r="D88">
        <v>35.5</v>
      </c>
      <c r="E88">
        <v>0.56100000000000005</v>
      </c>
      <c r="F88">
        <v>161.03</v>
      </c>
      <c r="G88">
        <v>46.5</v>
      </c>
      <c r="H88" s="1" t="s">
        <v>10</v>
      </c>
    </row>
    <row r="89" spans="1:8" x14ac:dyDescent="0.3">
      <c r="A89" s="1" t="s">
        <v>10</v>
      </c>
      <c r="B89" s="1" t="s">
        <v>9</v>
      </c>
      <c r="C89" s="1" t="s">
        <v>10</v>
      </c>
      <c r="D89">
        <v>35.5</v>
      </c>
      <c r="E89">
        <v>0.55500000000000005</v>
      </c>
      <c r="F89">
        <v>161.04</v>
      </c>
      <c r="G89">
        <v>46.7</v>
      </c>
      <c r="H89" s="1" t="s">
        <v>10</v>
      </c>
    </row>
    <row r="90" spans="1:8" x14ac:dyDescent="0.3">
      <c r="A90" s="1" t="s">
        <v>10</v>
      </c>
      <c r="B90" s="1" t="s">
        <v>9</v>
      </c>
      <c r="C90" s="1" t="s">
        <v>10</v>
      </c>
      <c r="D90">
        <v>35.4</v>
      </c>
      <c r="E90">
        <v>0.55200000000000005</v>
      </c>
      <c r="F90">
        <v>161.04</v>
      </c>
      <c r="G90">
        <v>46.9</v>
      </c>
      <c r="H90" s="1" t="s">
        <v>10</v>
      </c>
    </row>
    <row r="91" spans="1:8" x14ac:dyDescent="0.3">
      <c r="A91" s="1" t="s">
        <v>10</v>
      </c>
      <c r="B91" s="1" t="s">
        <v>9</v>
      </c>
      <c r="C91" s="1" t="s">
        <v>10</v>
      </c>
      <c r="D91">
        <v>35.5</v>
      </c>
      <c r="E91">
        <v>0.55700000000000005</v>
      </c>
      <c r="F91">
        <v>161.04</v>
      </c>
      <c r="G91">
        <v>47.2</v>
      </c>
      <c r="H91" s="1" t="s">
        <v>10</v>
      </c>
    </row>
    <row r="92" spans="1:8" x14ac:dyDescent="0.3">
      <c r="A92" s="1" t="s">
        <v>10</v>
      </c>
      <c r="B92" s="1" t="s">
        <v>9</v>
      </c>
      <c r="C92" s="1" t="s">
        <v>10</v>
      </c>
      <c r="D92">
        <v>35.6</v>
      </c>
      <c r="E92">
        <v>0.55200000000000005</v>
      </c>
      <c r="F92">
        <v>161.16</v>
      </c>
      <c r="G92">
        <v>47.4</v>
      </c>
      <c r="H92" s="1" t="s">
        <v>10</v>
      </c>
    </row>
    <row r="93" spans="1:8" x14ac:dyDescent="0.3">
      <c r="A93" s="1" t="s">
        <v>10</v>
      </c>
      <c r="B93" s="1" t="s">
        <v>9</v>
      </c>
      <c r="C93" s="1" t="s">
        <v>12</v>
      </c>
      <c r="D93">
        <v>35.700000000000003</v>
      </c>
      <c r="E93">
        <v>0.55100000000000005</v>
      </c>
      <c r="F93">
        <v>160.56</v>
      </c>
      <c r="G93">
        <v>47.2</v>
      </c>
      <c r="H93" s="1" t="s">
        <v>8</v>
      </c>
    </row>
    <row r="94" spans="1:8" x14ac:dyDescent="0.3">
      <c r="A94" s="1" t="s">
        <v>10</v>
      </c>
      <c r="B94" s="1" t="s">
        <v>9</v>
      </c>
      <c r="C94" s="1" t="s">
        <v>13</v>
      </c>
      <c r="D94">
        <v>35.700000000000003</v>
      </c>
      <c r="E94">
        <v>0.53900000000000003</v>
      </c>
      <c r="F94">
        <v>160.49</v>
      </c>
      <c r="G94">
        <v>47.8</v>
      </c>
      <c r="H94" s="1" t="s">
        <v>8</v>
      </c>
    </row>
    <row r="95" spans="1:8" x14ac:dyDescent="0.3">
      <c r="A95" s="1" t="s">
        <v>10</v>
      </c>
      <c r="B95" s="1" t="s">
        <v>9</v>
      </c>
      <c r="C95" s="1" t="s">
        <v>14</v>
      </c>
      <c r="D95">
        <v>35.9</v>
      </c>
      <c r="E95">
        <v>0.53900000000000003</v>
      </c>
      <c r="F95">
        <v>160.91</v>
      </c>
      <c r="G95">
        <v>47.3</v>
      </c>
      <c r="H95" s="1" t="s">
        <v>8</v>
      </c>
    </row>
    <row r="96" spans="1:8" x14ac:dyDescent="0.3">
      <c r="A96" s="1" t="s">
        <v>10</v>
      </c>
      <c r="B96" s="1" t="s">
        <v>9</v>
      </c>
      <c r="C96" s="1" t="s">
        <v>13</v>
      </c>
      <c r="D96">
        <v>35.9</v>
      </c>
      <c r="E96">
        <v>0.54200000000000004</v>
      </c>
      <c r="F96">
        <v>160.69</v>
      </c>
      <c r="G96">
        <v>47.4</v>
      </c>
      <c r="H96" s="1" t="s">
        <v>8</v>
      </c>
    </row>
    <row r="97" spans="1:8" x14ac:dyDescent="0.3">
      <c r="A97" s="1" t="s">
        <v>10</v>
      </c>
      <c r="B97" s="1" t="s">
        <v>9</v>
      </c>
      <c r="C97" s="1" t="s">
        <v>14</v>
      </c>
      <c r="D97">
        <v>36.1</v>
      </c>
      <c r="E97">
        <v>0.55100000000000005</v>
      </c>
      <c r="F97">
        <v>161.27000000000001</v>
      </c>
      <c r="G97">
        <v>47.5</v>
      </c>
      <c r="H97" s="1" t="s">
        <v>10</v>
      </c>
    </row>
    <row r="98" spans="1:8" x14ac:dyDescent="0.3">
      <c r="A98" s="1" t="s">
        <v>10</v>
      </c>
      <c r="B98" s="1" t="s">
        <v>9</v>
      </c>
      <c r="C98" s="1" t="s">
        <v>13</v>
      </c>
      <c r="D98">
        <v>36.200000000000003</v>
      </c>
      <c r="E98">
        <v>0.54800000000000004</v>
      </c>
      <c r="F98">
        <v>161.08000000000001</v>
      </c>
      <c r="G98">
        <v>47.5</v>
      </c>
      <c r="H98" s="1" t="s">
        <v>10</v>
      </c>
    </row>
    <row r="99" spans="1:8" x14ac:dyDescent="0.3">
      <c r="A99" s="1" t="s">
        <v>10</v>
      </c>
      <c r="B99" s="1" t="s">
        <v>9</v>
      </c>
      <c r="C99" s="1" t="s">
        <v>10</v>
      </c>
      <c r="D99">
        <v>36.299999999999997</v>
      </c>
      <c r="E99">
        <v>0.54900000000000004</v>
      </c>
      <c r="F99">
        <v>161.01</v>
      </c>
      <c r="G99">
        <v>47.3</v>
      </c>
      <c r="H99" s="1" t="s">
        <v>10</v>
      </c>
    </row>
    <row r="100" spans="1:8" x14ac:dyDescent="0.3">
      <c r="A100" s="1" t="s">
        <v>10</v>
      </c>
      <c r="B100" s="1" t="s">
        <v>9</v>
      </c>
      <c r="C100" s="1" t="s">
        <v>14</v>
      </c>
      <c r="D100">
        <v>36.200000000000003</v>
      </c>
      <c r="E100">
        <v>0.54700000000000004</v>
      </c>
      <c r="F100">
        <v>160.44999999999999</v>
      </c>
      <c r="G100">
        <v>47</v>
      </c>
      <c r="H100" s="1" t="s">
        <v>8</v>
      </c>
    </row>
    <row r="101" spans="1:8" x14ac:dyDescent="0.3">
      <c r="A101" s="1" t="s">
        <v>10</v>
      </c>
      <c r="B101" s="1" t="s">
        <v>9</v>
      </c>
      <c r="C101" s="1" t="s">
        <v>13</v>
      </c>
      <c r="D101">
        <v>36.4</v>
      </c>
      <c r="E101">
        <v>0.54600000000000004</v>
      </c>
      <c r="F101">
        <v>160.22</v>
      </c>
      <c r="G101">
        <v>46.7</v>
      </c>
      <c r="H101" s="1" t="s">
        <v>8</v>
      </c>
    </row>
    <row r="102" spans="1:8" x14ac:dyDescent="0.3">
      <c r="A102" s="1" t="s">
        <v>10</v>
      </c>
      <c r="B102" s="1" t="s">
        <v>9</v>
      </c>
      <c r="C102" s="1" t="s">
        <v>14</v>
      </c>
      <c r="D102">
        <v>36.4</v>
      </c>
      <c r="E102">
        <v>0.55200000000000005</v>
      </c>
      <c r="F102">
        <v>160.69999999999999</v>
      </c>
      <c r="G102">
        <v>46.3</v>
      </c>
      <c r="H102" s="1" t="s">
        <v>8</v>
      </c>
    </row>
    <row r="103" spans="1:8" x14ac:dyDescent="0.3">
      <c r="A103" s="1" t="s">
        <v>10</v>
      </c>
      <c r="B103" s="1" t="s">
        <v>9</v>
      </c>
      <c r="C103" s="1" t="s">
        <v>13</v>
      </c>
      <c r="D103">
        <v>36.200000000000003</v>
      </c>
      <c r="E103">
        <v>0.55000000000000004</v>
      </c>
      <c r="F103">
        <v>160.61000000000001</v>
      </c>
      <c r="G103">
        <v>46.7</v>
      </c>
      <c r="H103" s="1" t="s">
        <v>8</v>
      </c>
    </row>
    <row r="104" spans="1:8" x14ac:dyDescent="0.3">
      <c r="A104" s="1" t="s">
        <v>10</v>
      </c>
      <c r="B104" s="1" t="s">
        <v>9</v>
      </c>
      <c r="C104" s="1" t="s">
        <v>10</v>
      </c>
      <c r="D104">
        <v>36.1</v>
      </c>
      <c r="E104">
        <v>0.53700000000000003</v>
      </c>
      <c r="F104">
        <v>160.96</v>
      </c>
      <c r="G104">
        <v>46.8</v>
      </c>
      <c r="H104" s="1" t="s">
        <v>10</v>
      </c>
    </row>
    <row r="105" spans="1:8" x14ac:dyDescent="0.3">
      <c r="A105" s="1" t="s">
        <v>10</v>
      </c>
      <c r="B105" s="1" t="s">
        <v>9</v>
      </c>
      <c r="C105" s="1" t="s">
        <v>12</v>
      </c>
      <c r="D105">
        <v>36.200000000000003</v>
      </c>
      <c r="E105">
        <v>0.53600000000000003</v>
      </c>
      <c r="F105">
        <v>161.11000000000001</v>
      </c>
      <c r="G105">
        <v>47.2</v>
      </c>
      <c r="H105" s="1" t="s">
        <v>10</v>
      </c>
    </row>
    <row r="106" spans="1:8" x14ac:dyDescent="0.3">
      <c r="A106" s="1" t="s">
        <v>10</v>
      </c>
      <c r="B106" s="1" t="s">
        <v>9</v>
      </c>
      <c r="C106" s="1" t="s">
        <v>10</v>
      </c>
      <c r="D106">
        <v>36.299999999999997</v>
      </c>
      <c r="E106">
        <v>0.53</v>
      </c>
      <c r="F106">
        <v>160.91999999999999</v>
      </c>
      <c r="G106">
        <v>47.4</v>
      </c>
      <c r="H106" s="1" t="s">
        <v>10</v>
      </c>
    </row>
    <row r="107" spans="1:8" x14ac:dyDescent="0.3">
      <c r="A107" s="1" t="s">
        <v>10</v>
      </c>
      <c r="B107" s="1" t="s">
        <v>9</v>
      </c>
      <c r="C107" s="1" t="s">
        <v>14</v>
      </c>
      <c r="D107">
        <v>36.200000000000003</v>
      </c>
      <c r="E107">
        <v>0.54</v>
      </c>
      <c r="F107">
        <v>160.47999999999999</v>
      </c>
      <c r="G107">
        <v>47</v>
      </c>
      <c r="H107" s="1" t="s">
        <v>8</v>
      </c>
    </row>
    <row r="108" spans="1:8" x14ac:dyDescent="0.3">
      <c r="A108" s="1" t="s">
        <v>10</v>
      </c>
      <c r="B108" s="1" t="s">
        <v>9</v>
      </c>
      <c r="C108" s="1" t="s">
        <v>13</v>
      </c>
      <c r="D108">
        <v>36.299999999999997</v>
      </c>
      <c r="E108">
        <v>0.53700000000000003</v>
      </c>
      <c r="F108">
        <v>160.31</v>
      </c>
      <c r="G108">
        <v>46.8</v>
      </c>
      <c r="H108" s="1" t="s">
        <v>8</v>
      </c>
    </row>
    <row r="109" spans="1:8" x14ac:dyDescent="0.3">
      <c r="A109" s="1" t="s">
        <v>10</v>
      </c>
      <c r="B109" s="1" t="s">
        <v>9</v>
      </c>
      <c r="C109" s="1" t="s">
        <v>10</v>
      </c>
      <c r="D109">
        <v>36.299999999999997</v>
      </c>
      <c r="E109">
        <v>0.54100000000000004</v>
      </c>
      <c r="F109">
        <v>160.47</v>
      </c>
      <c r="G109">
        <v>46.5</v>
      </c>
      <c r="H109" s="1" t="s">
        <v>8</v>
      </c>
    </row>
    <row r="110" spans="1:8" x14ac:dyDescent="0.3">
      <c r="A110" s="1" t="s">
        <v>10</v>
      </c>
      <c r="B110" s="1" t="s">
        <v>9</v>
      </c>
      <c r="C110" s="1" t="s">
        <v>12</v>
      </c>
      <c r="D110">
        <v>36.299999999999997</v>
      </c>
      <c r="E110">
        <v>0.54</v>
      </c>
      <c r="F110">
        <v>160.63999999999999</v>
      </c>
      <c r="G110">
        <v>46.9</v>
      </c>
      <c r="H110" s="1" t="s">
        <v>8</v>
      </c>
    </row>
    <row r="111" spans="1:8" x14ac:dyDescent="0.3">
      <c r="A111" s="1" t="s">
        <v>10</v>
      </c>
      <c r="B111" s="1" t="s">
        <v>9</v>
      </c>
      <c r="C111" s="1" t="s">
        <v>10</v>
      </c>
      <c r="D111">
        <v>36.200000000000003</v>
      </c>
      <c r="E111">
        <v>0.54900000000000004</v>
      </c>
      <c r="F111">
        <v>160.58000000000001</v>
      </c>
      <c r="G111">
        <v>46.8</v>
      </c>
      <c r="H111" s="1" t="s">
        <v>8</v>
      </c>
    </row>
    <row r="112" spans="1:8" x14ac:dyDescent="0.3">
      <c r="A112" s="1" t="s">
        <v>10</v>
      </c>
      <c r="B112" s="1" t="s">
        <v>9</v>
      </c>
      <c r="C112" s="1" t="s">
        <v>12</v>
      </c>
      <c r="D112">
        <v>36.200000000000003</v>
      </c>
      <c r="E112">
        <v>0.54400000000000004</v>
      </c>
      <c r="F112">
        <v>161.1</v>
      </c>
      <c r="G112">
        <v>47.1</v>
      </c>
      <c r="H112" s="1" t="s">
        <v>10</v>
      </c>
    </row>
    <row r="113" spans="1:8" x14ac:dyDescent="0.3">
      <c r="A113" s="1" t="s">
        <v>10</v>
      </c>
      <c r="B113" s="1" t="s">
        <v>9</v>
      </c>
      <c r="C113" s="1" t="s">
        <v>10</v>
      </c>
      <c r="D113">
        <v>36.1</v>
      </c>
      <c r="E113">
        <v>0.54600000000000004</v>
      </c>
      <c r="F113">
        <v>161</v>
      </c>
      <c r="G113">
        <v>47.1</v>
      </c>
      <c r="H113" s="1" t="s">
        <v>10</v>
      </c>
    </row>
    <row r="114" spans="1:8" x14ac:dyDescent="0.3">
      <c r="A114" s="1" t="s">
        <v>10</v>
      </c>
      <c r="B114" s="1" t="s">
        <v>9</v>
      </c>
      <c r="C114" s="1" t="s">
        <v>14</v>
      </c>
      <c r="D114">
        <v>36</v>
      </c>
      <c r="E114">
        <v>0.54500000000000004</v>
      </c>
      <c r="F114">
        <v>160.61000000000001</v>
      </c>
      <c r="G114">
        <v>47.5</v>
      </c>
      <c r="H114" s="1" t="s">
        <v>8</v>
      </c>
    </row>
    <row r="115" spans="1:8" x14ac:dyDescent="0.3">
      <c r="A115" s="1" t="s">
        <v>10</v>
      </c>
      <c r="B115" s="1" t="s">
        <v>9</v>
      </c>
      <c r="C115" s="1" t="s">
        <v>12</v>
      </c>
      <c r="D115">
        <v>35.9</v>
      </c>
      <c r="E115">
        <v>0.55000000000000004</v>
      </c>
      <c r="F115">
        <v>160.53</v>
      </c>
      <c r="G115">
        <v>46.9</v>
      </c>
      <c r="H115" s="1" t="s">
        <v>8</v>
      </c>
    </row>
    <row r="116" spans="1:8" x14ac:dyDescent="0.3">
      <c r="A116" s="1" t="s">
        <v>10</v>
      </c>
      <c r="B116" s="1" t="s">
        <v>9</v>
      </c>
      <c r="C116" s="1" t="s">
        <v>10</v>
      </c>
      <c r="D116">
        <v>35.799999999999997</v>
      </c>
      <c r="E116">
        <v>0.54100000000000004</v>
      </c>
      <c r="F116">
        <v>160.41</v>
      </c>
      <c r="G116">
        <v>47</v>
      </c>
      <c r="H116" s="1" t="s">
        <v>8</v>
      </c>
    </row>
    <row r="117" spans="1:8" x14ac:dyDescent="0.3">
      <c r="A117" s="1" t="s">
        <v>10</v>
      </c>
      <c r="B117" s="1" t="s">
        <v>9</v>
      </c>
      <c r="C117" s="1" t="s">
        <v>12</v>
      </c>
      <c r="D117">
        <v>35.700000000000003</v>
      </c>
      <c r="E117">
        <v>0.54600000000000004</v>
      </c>
      <c r="F117">
        <v>160.81</v>
      </c>
      <c r="G117">
        <v>47</v>
      </c>
      <c r="H117" s="1" t="s">
        <v>8</v>
      </c>
    </row>
    <row r="118" spans="1:8" x14ac:dyDescent="0.3">
      <c r="A118" s="1" t="s">
        <v>10</v>
      </c>
      <c r="B118" s="1" t="s">
        <v>9</v>
      </c>
      <c r="C118" s="1" t="s">
        <v>10</v>
      </c>
      <c r="D118">
        <v>35.6</v>
      </c>
      <c r="E118">
        <v>0.54400000000000004</v>
      </c>
      <c r="F118">
        <v>160.68</v>
      </c>
      <c r="G118">
        <v>46.8</v>
      </c>
      <c r="H118" s="1" t="s">
        <v>8</v>
      </c>
    </row>
    <row r="119" spans="1:8" x14ac:dyDescent="0.3">
      <c r="A119" s="1" t="s">
        <v>10</v>
      </c>
      <c r="B119" s="1" t="s">
        <v>9</v>
      </c>
      <c r="C119" s="1" t="s">
        <v>12</v>
      </c>
      <c r="D119">
        <v>35.5</v>
      </c>
      <c r="E119">
        <v>0.55800000000000005</v>
      </c>
      <c r="F119">
        <v>161.32</v>
      </c>
      <c r="G119">
        <v>46.6</v>
      </c>
      <c r="H119" s="1" t="s">
        <v>10</v>
      </c>
    </row>
    <row r="120" spans="1:8" x14ac:dyDescent="0.3">
      <c r="A120" s="1" t="s">
        <v>10</v>
      </c>
      <c r="B120" s="1" t="s">
        <v>9</v>
      </c>
      <c r="C120" s="1" t="s">
        <v>13</v>
      </c>
      <c r="D120">
        <v>35.4</v>
      </c>
      <c r="E120">
        <v>0.54700000000000004</v>
      </c>
      <c r="F120">
        <v>161.26</v>
      </c>
      <c r="G120">
        <v>46.6</v>
      </c>
      <c r="H120" s="1" t="s">
        <v>10</v>
      </c>
    </row>
    <row r="121" spans="1:8" x14ac:dyDescent="0.3">
      <c r="A121" s="1" t="s">
        <v>10</v>
      </c>
      <c r="B121" s="1" t="s">
        <v>9</v>
      </c>
      <c r="C121" s="1" t="s">
        <v>10</v>
      </c>
      <c r="D121">
        <v>35.299999999999997</v>
      </c>
      <c r="E121">
        <v>0.54700000000000004</v>
      </c>
      <c r="F121">
        <v>161.22</v>
      </c>
      <c r="G121">
        <v>46.6</v>
      </c>
      <c r="H121" s="1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F2AA-8933-44FE-BC1B-DF063226A7B4}">
  <dimension ref="A1:I129"/>
  <sheetViews>
    <sheetView tabSelected="1" workbookViewId="0">
      <selection activeCell="F5" sqref="F5"/>
    </sheetView>
  </sheetViews>
  <sheetFormatPr defaultRowHeight="16.5" x14ac:dyDescent="0.3"/>
  <cols>
    <col min="1" max="3" width="12.75" style="2" bestFit="1" customWidth="1"/>
    <col min="4" max="4" width="13" style="2" bestFit="1" customWidth="1"/>
    <col min="6" max="8" width="13.75" style="2" bestFit="1" customWidth="1"/>
    <col min="9" max="9" width="17.875" style="2" bestFit="1" customWidth="1"/>
  </cols>
  <sheetData>
    <row r="1" spans="1:9" x14ac:dyDescent="0.3">
      <c r="A1" s="2" t="s">
        <v>16</v>
      </c>
      <c r="B1" s="2" t="s">
        <v>17</v>
      </c>
      <c r="C1" s="2" t="s">
        <v>18</v>
      </c>
      <c r="D1" s="2" t="s">
        <v>19</v>
      </c>
      <c r="F1" s="2" t="s">
        <v>25</v>
      </c>
      <c r="G1" s="2" t="s">
        <v>20</v>
      </c>
      <c r="H1" s="2" t="s">
        <v>26</v>
      </c>
      <c r="I1" s="2" t="s">
        <v>27</v>
      </c>
    </row>
    <row r="2" spans="1:9" x14ac:dyDescent="0.3">
      <c r="A2" s="3">
        <f>AVERAGE(A10:A129)</f>
        <v>45.33916666666665</v>
      </c>
      <c r="B2" s="3">
        <f>AVERAGE(B10:B129)</f>
        <v>0.61563333333333359</v>
      </c>
      <c r="C2" s="3">
        <f>AVERAGE(C10:C129)</f>
        <v>161.00166666666667</v>
      </c>
      <c r="D2" s="3">
        <f>AVERAGE(D10:D129)</f>
        <v>31.440833333333334</v>
      </c>
      <c r="F2" s="3">
        <f>(SUMSQ(F10:F129)/119)^0.5</f>
        <v>8.0421818168548089</v>
      </c>
      <c r="G2" s="3">
        <f t="shared" ref="G2:I2" si="0">(SUMSQ(G10:G129)/119)^0.5</f>
        <v>6.3953099061357627E-2</v>
      </c>
      <c r="H2" s="3">
        <f t="shared" si="0"/>
        <v>5.3923619079934459</v>
      </c>
      <c r="I2" s="3">
        <f t="shared" si="0"/>
        <v>11.553198079074974</v>
      </c>
    </row>
    <row r="3" spans="1:9" x14ac:dyDescent="0.3">
      <c r="A3" s="3"/>
      <c r="B3" s="3"/>
      <c r="C3" s="3"/>
      <c r="D3" s="3"/>
      <c r="F3" s="3"/>
      <c r="G3" s="2" t="s">
        <v>28</v>
      </c>
      <c r="H3" s="2" t="s">
        <v>29</v>
      </c>
      <c r="I3" s="2" t="s">
        <v>30</v>
      </c>
    </row>
    <row r="4" spans="1:9" x14ac:dyDescent="0.3">
      <c r="A4" s="3"/>
      <c r="B4" s="3"/>
      <c r="C4" s="3"/>
      <c r="D4" s="3"/>
      <c r="F4" s="3"/>
      <c r="G4" s="3">
        <f>SUMPRODUCT($F$10:$F$129,G10:G129)/119</f>
        <v>0.47872960784313723</v>
      </c>
      <c r="H4" s="3">
        <f t="shared" ref="H4:I4" si="1">SUMPRODUCT($F$10:$F$129,H10:H129)/119</f>
        <v>12.328925770308118</v>
      </c>
      <c r="I4" s="3">
        <f t="shared" si="1"/>
        <v>-88.369679971988816</v>
      </c>
    </row>
    <row r="5" spans="1:9" x14ac:dyDescent="0.3">
      <c r="A5" s="3"/>
      <c r="B5" s="3"/>
      <c r="C5" s="3"/>
      <c r="D5" s="3"/>
      <c r="F5" s="3"/>
      <c r="G5" s="3" t="s">
        <v>31</v>
      </c>
      <c r="H5" s="2" t="s">
        <v>32</v>
      </c>
      <c r="I5" s="2" t="s">
        <v>33</v>
      </c>
    </row>
    <row r="6" spans="1:9" x14ac:dyDescent="0.3">
      <c r="A6" s="3"/>
      <c r="B6" s="3"/>
      <c r="C6" s="3"/>
      <c r="D6" s="3"/>
      <c r="F6" s="3"/>
      <c r="G6" s="3">
        <f>G4/($F$2*G2)</f>
        <v>0.93079663831171511</v>
      </c>
      <c r="H6" s="3">
        <f t="shared" ref="H6:I6" si="2">H4/($F$2*H2)</f>
        <v>0.28429702709886728</v>
      </c>
      <c r="I6" s="3">
        <f t="shared" si="2"/>
        <v>-0.95110217642890005</v>
      </c>
    </row>
    <row r="7" spans="1:9" x14ac:dyDescent="0.3">
      <c r="A7" s="3"/>
      <c r="B7" s="3"/>
      <c r="C7" s="3"/>
      <c r="D7" s="3"/>
      <c r="F7" s="3"/>
      <c r="G7" s="3"/>
      <c r="H7" s="3"/>
      <c r="I7" s="3"/>
    </row>
    <row r="8" spans="1:9" x14ac:dyDescent="0.3">
      <c r="A8" s="3"/>
      <c r="B8" s="3"/>
      <c r="C8" s="3"/>
      <c r="D8" s="3"/>
      <c r="F8" s="3"/>
    </row>
    <row r="9" spans="1:9" x14ac:dyDescent="0.3">
      <c r="A9" s="2" t="s">
        <v>3</v>
      </c>
      <c r="B9" s="2" t="s">
        <v>4</v>
      </c>
      <c r="C9" s="2" t="s">
        <v>5</v>
      </c>
      <c r="D9" s="2" t="s">
        <v>6</v>
      </c>
      <c r="F9" s="2" t="s">
        <v>21</v>
      </c>
      <c r="G9" s="2" t="s">
        <v>22</v>
      </c>
      <c r="H9" s="2" t="s">
        <v>23</v>
      </c>
      <c r="I9" s="2" t="s">
        <v>24</v>
      </c>
    </row>
    <row r="10" spans="1:9" x14ac:dyDescent="0.3">
      <c r="A10" s="2">
        <v>35.6</v>
      </c>
      <c r="B10" s="2">
        <v>0.57699999999999996</v>
      </c>
      <c r="C10" s="2">
        <v>160.66999999999999</v>
      </c>
      <c r="D10" s="2">
        <v>39.6</v>
      </c>
      <c r="F10" s="3">
        <f>A10-$A$2</f>
        <v>-9.7391666666666481</v>
      </c>
      <c r="G10" s="3">
        <f>B10-$B$2</f>
        <v>-3.863333333333363E-2</v>
      </c>
      <c r="H10" s="3">
        <f>C10-$C$2</f>
        <v>-0.33166666666667766</v>
      </c>
      <c r="I10" s="3">
        <f>D10-$D$2</f>
        <v>8.1591666666666676</v>
      </c>
    </row>
    <row r="11" spans="1:9" x14ac:dyDescent="0.3">
      <c r="A11" s="2">
        <v>47.5</v>
      </c>
      <c r="B11" s="2">
        <v>0.60399999999999998</v>
      </c>
      <c r="C11" s="2">
        <v>158.65</v>
      </c>
      <c r="D11" s="2">
        <v>17.600000000000001</v>
      </c>
      <c r="F11" s="3">
        <f>A11-$A$2</f>
        <v>2.1608333333333505</v>
      </c>
      <c r="G11" s="3">
        <f t="shared" ref="G11:G74" si="3">B11-$B$2</f>
        <v>-1.1633333333333606E-2</v>
      </c>
      <c r="H11" s="3">
        <f t="shared" ref="H11:H74" si="4">C11-$C$2</f>
        <v>-2.3516666666666595</v>
      </c>
      <c r="I11" s="3">
        <f t="shared" ref="I11:I74" si="5">D11-$D$2</f>
        <v>-13.840833333333332</v>
      </c>
    </row>
    <row r="12" spans="1:9" x14ac:dyDescent="0.3">
      <c r="A12" s="2">
        <v>50.7</v>
      </c>
      <c r="B12" s="2">
        <v>0.64</v>
      </c>
      <c r="C12" s="2">
        <v>157.76</v>
      </c>
      <c r="D12" s="2">
        <v>18.7</v>
      </c>
      <c r="F12" s="3">
        <f>A12-$A$2</f>
        <v>5.3608333333333533</v>
      </c>
      <c r="G12" s="3">
        <f t="shared" si="3"/>
        <v>2.4366666666666426E-2</v>
      </c>
      <c r="H12" s="3">
        <f t="shared" si="4"/>
        <v>-3.2416666666666742</v>
      </c>
      <c r="I12" s="3">
        <f t="shared" si="5"/>
        <v>-12.740833333333335</v>
      </c>
    </row>
    <row r="13" spans="1:9" x14ac:dyDescent="0.3">
      <c r="A13" s="2">
        <v>51.7</v>
      </c>
      <c r="B13" s="2">
        <v>0.63500000000000001</v>
      </c>
      <c r="C13" s="2">
        <v>157.54</v>
      </c>
      <c r="D13" s="2">
        <v>19.600000000000001</v>
      </c>
      <c r="F13" s="3">
        <f>A13-$A$2</f>
        <v>6.3608333333333533</v>
      </c>
      <c r="G13" s="3">
        <f t="shared" si="3"/>
        <v>1.9366666666666421E-2</v>
      </c>
      <c r="H13" s="3">
        <f t="shared" si="4"/>
        <v>-3.4616666666666731</v>
      </c>
      <c r="I13" s="3">
        <f t="shared" si="5"/>
        <v>-11.840833333333332</v>
      </c>
    </row>
    <row r="14" spans="1:9" x14ac:dyDescent="0.3">
      <c r="A14" s="2">
        <v>52.4</v>
      </c>
      <c r="B14" s="2">
        <v>0.63500000000000001</v>
      </c>
      <c r="C14" s="2">
        <v>157.36000000000001</v>
      </c>
      <c r="D14" s="2">
        <v>21.1</v>
      </c>
      <c r="F14" s="3">
        <f>A14-$A$2</f>
        <v>7.0608333333333491</v>
      </c>
      <c r="G14" s="3">
        <f t="shared" si="3"/>
        <v>1.9366666666666421E-2</v>
      </c>
      <c r="H14" s="3">
        <f t="shared" si="4"/>
        <v>-3.6416666666666515</v>
      </c>
      <c r="I14" s="3">
        <f t="shared" si="5"/>
        <v>-10.340833333333332</v>
      </c>
    </row>
    <row r="15" spans="1:9" x14ac:dyDescent="0.3">
      <c r="A15" s="2">
        <v>53.1</v>
      </c>
      <c r="B15" s="2">
        <v>0.64800000000000002</v>
      </c>
      <c r="C15" s="2">
        <v>157.19999999999999</v>
      </c>
      <c r="D15" s="2">
        <v>20.9</v>
      </c>
      <c r="F15" s="3">
        <f>A15-$A$2</f>
        <v>7.7608333333333519</v>
      </c>
      <c r="G15" s="3">
        <f t="shared" si="3"/>
        <v>3.2366666666666433E-2</v>
      </c>
      <c r="H15" s="3">
        <f t="shared" si="4"/>
        <v>-3.8016666666666765</v>
      </c>
      <c r="I15" s="3">
        <f t="shared" si="5"/>
        <v>-10.540833333333335</v>
      </c>
    </row>
    <row r="16" spans="1:9" x14ac:dyDescent="0.3">
      <c r="A16" s="2">
        <v>53.5</v>
      </c>
      <c r="B16" s="2">
        <v>0.66600000000000004</v>
      </c>
      <c r="C16" s="2">
        <v>157.07</v>
      </c>
      <c r="D16" s="2">
        <v>20.100000000000001</v>
      </c>
      <c r="F16" s="3">
        <f>A16-$A$2</f>
        <v>8.1608333333333505</v>
      </c>
      <c r="G16" s="3">
        <f t="shared" si="3"/>
        <v>5.0366666666666449E-2</v>
      </c>
      <c r="H16" s="3">
        <f t="shared" si="4"/>
        <v>-3.931666666666672</v>
      </c>
      <c r="I16" s="3">
        <f t="shared" si="5"/>
        <v>-11.340833333333332</v>
      </c>
    </row>
    <row r="17" spans="1:9" x14ac:dyDescent="0.3">
      <c r="A17" s="2">
        <v>53.7</v>
      </c>
      <c r="B17" s="2">
        <v>0.65600000000000003</v>
      </c>
      <c r="C17" s="2">
        <v>157.09</v>
      </c>
      <c r="D17" s="2">
        <v>19.600000000000001</v>
      </c>
      <c r="F17" s="3">
        <f>A17-$A$2</f>
        <v>8.3608333333333533</v>
      </c>
      <c r="G17" s="3">
        <f t="shared" si="3"/>
        <v>4.036666666666644E-2</v>
      </c>
      <c r="H17" s="3">
        <f t="shared" si="4"/>
        <v>-3.9116666666666617</v>
      </c>
      <c r="I17" s="3">
        <f t="shared" si="5"/>
        <v>-11.840833333333332</v>
      </c>
    </row>
    <row r="18" spans="1:9" x14ac:dyDescent="0.3">
      <c r="A18" s="2">
        <v>53.9</v>
      </c>
      <c r="B18" s="2">
        <v>0.66</v>
      </c>
      <c r="C18" s="2">
        <v>156.94999999999999</v>
      </c>
      <c r="D18" s="2">
        <v>19.600000000000001</v>
      </c>
      <c r="F18" s="3">
        <f>A18-$A$2</f>
        <v>8.5608333333333491</v>
      </c>
      <c r="G18" s="3">
        <f t="shared" si="3"/>
        <v>4.4366666666666443E-2</v>
      </c>
      <c r="H18" s="3">
        <f t="shared" si="4"/>
        <v>-4.0516666666666765</v>
      </c>
      <c r="I18" s="3">
        <f t="shared" si="5"/>
        <v>-11.840833333333332</v>
      </c>
    </row>
    <row r="19" spans="1:9" x14ac:dyDescent="0.3">
      <c r="A19" s="2">
        <v>53.9</v>
      </c>
      <c r="B19" s="2">
        <v>0.66800000000000004</v>
      </c>
      <c r="C19" s="2">
        <v>157.07</v>
      </c>
      <c r="D19" s="2">
        <v>19.600000000000001</v>
      </c>
      <c r="F19" s="3">
        <f>A19-$A$2</f>
        <v>8.5608333333333491</v>
      </c>
      <c r="G19" s="3">
        <f t="shared" si="3"/>
        <v>5.236666666666645E-2</v>
      </c>
      <c r="H19" s="3">
        <f t="shared" si="4"/>
        <v>-3.931666666666672</v>
      </c>
      <c r="I19" s="3">
        <f t="shared" si="5"/>
        <v>-11.840833333333332</v>
      </c>
    </row>
    <row r="20" spans="1:9" x14ac:dyDescent="0.3">
      <c r="A20" s="2">
        <v>54.1</v>
      </c>
      <c r="B20" s="2">
        <v>0.66700000000000004</v>
      </c>
      <c r="C20" s="2">
        <v>157</v>
      </c>
      <c r="D20" s="2">
        <v>20</v>
      </c>
      <c r="F20" s="3">
        <f>A20-$A$2</f>
        <v>8.7608333333333519</v>
      </c>
      <c r="G20" s="3">
        <f t="shared" si="3"/>
        <v>5.136666666666645E-2</v>
      </c>
      <c r="H20" s="3">
        <f t="shared" si="4"/>
        <v>-4.0016666666666652</v>
      </c>
      <c r="I20" s="3">
        <f t="shared" si="5"/>
        <v>-11.440833333333334</v>
      </c>
    </row>
    <row r="21" spans="1:9" x14ac:dyDescent="0.3">
      <c r="A21" s="2">
        <v>54.3</v>
      </c>
      <c r="B21" s="2">
        <v>0.66200000000000003</v>
      </c>
      <c r="C21" s="2">
        <v>157.01</v>
      </c>
      <c r="D21" s="2">
        <v>19.899999999999999</v>
      </c>
      <c r="F21" s="3">
        <f>A21-$A$2</f>
        <v>8.9608333333333476</v>
      </c>
      <c r="G21" s="3">
        <f t="shared" si="3"/>
        <v>4.6366666666666445E-2</v>
      </c>
      <c r="H21" s="3">
        <f t="shared" si="4"/>
        <v>-3.9916666666666742</v>
      </c>
      <c r="I21" s="3">
        <f t="shared" si="5"/>
        <v>-11.540833333333335</v>
      </c>
    </row>
    <row r="22" spans="1:9" x14ac:dyDescent="0.3">
      <c r="A22" s="2">
        <v>54.2</v>
      </c>
      <c r="B22" s="2">
        <v>0.66100000000000003</v>
      </c>
      <c r="C22" s="2">
        <v>156.19999999999999</v>
      </c>
      <c r="D22" s="2">
        <v>19.899999999999999</v>
      </c>
      <c r="F22" s="3">
        <f>A22-$A$2</f>
        <v>8.8608333333333533</v>
      </c>
      <c r="G22" s="3">
        <f t="shared" si="3"/>
        <v>4.5366666666666444E-2</v>
      </c>
      <c r="H22" s="3">
        <f t="shared" si="4"/>
        <v>-4.8016666666666765</v>
      </c>
      <c r="I22" s="3">
        <f t="shared" si="5"/>
        <v>-11.540833333333335</v>
      </c>
    </row>
    <row r="23" spans="1:9" x14ac:dyDescent="0.3">
      <c r="A23" s="2">
        <v>54.2</v>
      </c>
      <c r="B23" s="2">
        <v>0.64800000000000002</v>
      </c>
      <c r="C23" s="2">
        <v>156.13999999999999</v>
      </c>
      <c r="D23" s="2">
        <v>19.899999999999999</v>
      </c>
      <c r="F23" s="3">
        <f>A23-$A$2</f>
        <v>8.8608333333333533</v>
      </c>
      <c r="G23" s="3">
        <f t="shared" si="3"/>
        <v>3.2366666666666433E-2</v>
      </c>
      <c r="H23" s="3">
        <f t="shared" si="4"/>
        <v>-4.8616666666666788</v>
      </c>
      <c r="I23" s="3">
        <f t="shared" si="5"/>
        <v>-11.540833333333335</v>
      </c>
    </row>
    <row r="24" spans="1:9" x14ac:dyDescent="0.3">
      <c r="A24" s="2">
        <v>54.5</v>
      </c>
      <c r="B24" s="2">
        <v>0.65700000000000003</v>
      </c>
      <c r="C24" s="2">
        <v>156.54</v>
      </c>
      <c r="D24" s="2">
        <v>20.100000000000001</v>
      </c>
      <c r="F24" s="3">
        <f>A24-$A$2</f>
        <v>9.1608333333333505</v>
      </c>
      <c r="G24" s="3">
        <f t="shared" si="3"/>
        <v>4.1366666666666441E-2</v>
      </c>
      <c r="H24" s="3">
        <f t="shared" si="4"/>
        <v>-4.4616666666666731</v>
      </c>
      <c r="I24" s="3">
        <f t="shared" si="5"/>
        <v>-11.340833333333332</v>
      </c>
    </row>
    <row r="25" spans="1:9" x14ac:dyDescent="0.3">
      <c r="A25" s="2">
        <v>54.4</v>
      </c>
      <c r="B25" s="2">
        <v>0.65900000000000003</v>
      </c>
      <c r="C25" s="2">
        <v>156.49</v>
      </c>
      <c r="D25" s="2">
        <v>20</v>
      </c>
      <c r="F25" s="3">
        <f>A25-$A$2</f>
        <v>9.0608333333333491</v>
      </c>
      <c r="G25" s="3">
        <f t="shared" si="3"/>
        <v>4.3366666666666442E-2</v>
      </c>
      <c r="H25" s="3">
        <f t="shared" si="4"/>
        <v>-4.5116666666666561</v>
      </c>
      <c r="I25" s="3">
        <f t="shared" si="5"/>
        <v>-11.440833333333334</v>
      </c>
    </row>
    <row r="26" spans="1:9" x14ac:dyDescent="0.3">
      <c r="A26" s="2">
        <v>54.6</v>
      </c>
      <c r="B26" s="2">
        <v>0.66600000000000004</v>
      </c>
      <c r="C26" s="2">
        <v>157.07</v>
      </c>
      <c r="D26" s="2">
        <v>20.2</v>
      </c>
      <c r="F26" s="3">
        <f>A26-$A$2</f>
        <v>9.2608333333333519</v>
      </c>
      <c r="G26" s="3">
        <f t="shared" si="3"/>
        <v>5.0366666666666449E-2</v>
      </c>
      <c r="H26" s="3">
        <f t="shared" si="4"/>
        <v>-3.931666666666672</v>
      </c>
      <c r="I26" s="3">
        <f t="shared" si="5"/>
        <v>-11.240833333333335</v>
      </c>
    </row>
    <row r="27" spans="1:9" x14ac:dyDescent="0.3">
      <c r="A27" s="2">
        <v>55</v>
      </c>
      <c r="B27" s="2">
        <v>0.65600000000000003</v>
      </c>
      <c r="C27" s="2">
        <v>156.79</v>
      </c>
      <c r="D27" s="2">
        <v>20.6</v>
      </c>
      <c r="F27" s="3">
        <f>A27-$A$2</f>
        <v>9.6608333333333505</v>
      </c>
      <c r="G27" s="3">
        <f t="shared" si="3"/>
        <v>4.036666666666644E-2</v>
      </c>
      <c r="H27" s="3">
        <f t="shared" si="4"/>
        <v>-4.2116666666666731</v>
      </c>
      <c r="I27" s="3">
        <f t="shared" si="5"/>
        <v>-10.840833333333332</v>
      </c>
    </row>
    <row r="28" spans="1:9" x14ac:dyDescent="0.3">
      <c r="A28" s="2">
        <v>54.5</v>
      </c>
      <c r="B28" s="2">
        <v>0.67600000000000005</v>
      </c>
      <c r="C28" s="2">
        <v>156.82</v>
      </c>
      <c r="D28" s="2">
        <v>20.399999999999999</v>
      </c>
      <c r="F28" s="3">
        <f>A28-$A$2</f>
        <v>9.1608333333333505</v>
      </c>
      <c r="G28" s="3">
        <f t="shared" si="3"/>
        <v>6.0366666666666458E-2</v>
      </c>
      <c r="H28" s="3">
        <f t="shared" si="4"/>
        <v>-4.181666666666672</v>
      </c>
      <c r="I28" s="3">
        <f t="shared" si="5"/>
        <v>-11.040833333333335</v>
      </c>
    </row>
    <row r="29" spans="1:9" x14ac:dyDescent="0.3">
      <c r="A29" s="2">
        <v>54.4</v>
      </c>
      <c r="B29" s="2">
        <v>0.749</v>
      </c>
      <c r="C29" s="2">
        <v>173.28</v>
      </c>
      <c r="D29" s="2">
        <v>20.2</v>
      </c>
      <c r="F29" s="3">
        <f>A29-$A$2</f>
        <v>9.0608333333333491</v>
      </c>
      <c r="G29" s="3">
        <f t="shared" si="3"/>
        <v>0.13336666666666641</v>
      </c>
      <c r="H29" s="3">
        <f t="shared" si="4"/>
        <v>12.278333333333336</v>
      </c>
      <c r="I29" s="3">
        <f t="shared" si="5"/>
        <v>-11.240833333333335</v>
      </c>
    </row>
    <row r="30" spans="1:9" x14ac:dyDescent="0.3">
      <c r="A30" s="2">
        <v>56</v>
      </c>
      <c r="B30" s="2">
        <v>0.77900000000000003</v>
      </c>
      <c r="C30" s="2">
        <v>180.41</v>
      </c>
      <c r="D30" s="2">
        <v>20.8</v>
      </c>
      <c r="F30" s="3">
        <f>A30-$A$2</f>
        <v>10.66083333333335</v>
      </c>
      <c r="G30" s="3">
        <f t="shared" si="3"/>
        <v>0.16336666666666644</v>
      </c>
      <c r="H30" s="3">
        <f t="shared" si="4"/>
        <v>19.408333333333331</v>
      </c>
      <c r="I30" s="3">
        <f t="shared" si="5"/>
        <v>-10.640833333333333</v>
      </c>
    </row>
    <row r="31" spans="1:9" x14ac:dyDescent="0.3">
      <c r="A31" s="2">
        <v>56.6</v>
      </c>
      <c r="B31" s="2">
        <v>0.73899999999999999</v>
      </c>
      <c r="C31" s="2">
        <v>180.7</v>
      </c>
      <c r="D31" s="2">
        <v>19.7</v>
      </c>
      <c r="F31" s="3">
        <f>A31-$A$2</f>
        <v>11.260833333333352</v>
      </c>
      <c r="G31" s="3">
        <f t="shared" si="3"/>
        <v>0.1233666666666664</v>
      </c>
      <c r="H31" s="3">
        <f t="shared" si="4"/>
        <v>19.698333333333323</v>
      </c>
      <c r="I31" s="3">
        <f t="shared" si="5"/>
        <v>-11.740833333333335</v>
      </c>
    </row>
    <row r="32" spans="1:9" x14ac:dyDescent="0.3">
      <c r="A32" s="2">
        <v>56.8</v>
      </c>
      <c r="B32" s="2">
        <v>0.73299999999999998</v>
      </c>
      <c r="C32" s="2">
        <v>172.86</v>
      </c>
      <c r="D32" s="2">
        <v>19</v>
      </c>
      <c r="F32" s="3">
        <f>A32-$A$2</f>
        <v>11.460833333333348</v>
      </c>
      <c r="G32" s="3">
        <f t="shared" si="3"/>
        <v>0.1173666666666664</v>
      </c>
      <c r="H32" s="3">
        <f t="shared" si="4"/>
        <v>11.858333333333348</v>
      </c>
      <c r="I32" s="3">
        <f t="shared" si="5"/>
        <v>-12.440833333333334</v>
      </c>
    </row>
    <row r="33" spans="1:9" x14ac:dyDescent="0.3">
      <c r="A33" s="2">
        <v>57.1</v>
      </c>
      <c r="B33" s="2">
        <v>0.72499999999999998</v>
      </c>
      <c r="C33" s="2">
        <v>156.08000000000001</v>
      </c>
      <c r="D33" s="2">
        <v>18.8</v>
      </c>
      <c r="F33" s="3">
        <f>A33-$A$2</f>
        <v>11.760833333333352</v>
      </c>
      <c r="G33" s="3">
        <f t="shared" si="3"/>
        <v>0.10936666666666639</v>
      </c>
      <c r="H33" s="3">
        <f t="shared" si="4"/>
        <v>-4.9216666666666526</v>
      </c>
      <c r="I33" s="3">
        <f t="shared" si="5"/>
        <v>-12.640833333333333</v>
      </c>
    </row>
    <row r="34" spans="1:9" x14ac:dyDescent="0.3">
      <c r="A34" s="2">
        <v>56.3</v>
      </c>
      <c r="B34" s="2">
        <v>0.65400000000000003</v>
      </c>
      <c r="C34" s="2">
        <v>156.4</v>
      </c>
      <c r="D34" s="2">
        <v>20.3</v>
      </c>
      <c r="F34" s="3">
        <f>A34-$A$2</f>
        <v>10.960833333333348</v>
      </c>
      <c r="G34" s="3">
        <f t="shared" si="3"/>
        <v>3.8366666666666438E-2</v>
      </c>
      <c r="H34" s="3">
        <f t="shared" si="4"/>
        <v>-4.6016666666666595</v>
      </c>
      <c r="I34" s="3">
        <f t="shared" si="5"/>
        <v>-11.140833333333333</v>
      </c>
    </row>
    <row r="35" spans="1:9" x14ac:dyDescent="0.3">
      <c r="A35" s="2">
        <v>56</v>
      </c>
      <c r="B35" s="2">
        <v>0.73299999999999998</v>
      </c>
      <c r="C35" s="2">
        <v>180.92</v>
      </c>
      <c r="D35" s="2">
        <v>20.6</v>
      </c>
      <c r="F35" s="3">
        <f>A35-$A$2</f>
        <v>10.66083333333335</v>
      </c>
      <c r="G35" s="3">
        <f t="shared" si="3"/>
        <v>0.1173666666666664</v>
      </c>
      <c r="H35" s="3">
        <f t="shared" si="4"/>
        <v>19.918333333333322</v>
      </c>
      <c r="I35" s="3">
        <f t="shared" si="5"/>
        <v>-10.840833333333332</v>
      </c>
    </row>
    <row r="36" spans="1:9" x14ac:dyDescent="0.3">
      <c r="A36" s="2">
        <v>56</v>
      </c>
      <c r="B36" s="2">
        <v>0.74099999999999999</v>
      </c>
      <c r="C36" s="2">
        <v>173.03</v>
      </c>
      <c r="D36" s="2">
        <v>20</v>
      </c>
      <c r="F36" s="3">
        <f>A36-$A$2</f>
        <v>10.66083333333335</v>
      </c>
      <c r="G36" s="3">
        <f t="shared" si="3"/>
        <v>0.1253666666666664</v>
      </c>
      <c r="H36" s="3">
        <f t="shared" si="4"/>
        <v>12.028333333333336</v>
      </c>
      <c r="I36" s="3">
        <f t="shared" si="5"/>
        <v>-11.440833333333334</v>
      </c>
    </row>
    <row r="37" spans="1:9" x14ac:dyDescent="0.3">
      <c r="A37" s="2">
        <v>57.1</v>
      </c>
      <c r="B37" s="2">
        <v>0.75900000000000001</v>
      </c>
      <c r="C37" s="2">
        <v>173.06</v>
      </c>
      <c r="D37" s="2">
        <v>19.3</v>
      </c>
      <c r="F37" s="3">
        <f>A37-$A$2</f>
        <v>11.760833333333352</v>
      </c>
      <c r="G37" s="3">
        <f t="shared" si="3"/>
        <v>0.14336666666666642</v>
      </c>
      <c r="H37" s="3">
        <f t="shared" si="4"/>
        <v>12.058333333333337</v>
      </c>
      <c r="I37" s="3">
        <f t="shared" si="5"/>
        <v>-12.140833333333333</v>
      </c>
    </row>
    <row r="38" spans="1:9" x14ac:dyDescent="0.3">
      <c r="A38" s="2">
        <v>57.6</v>
      </c>
      <c r="B38" s="2">
        <v>0.71899999999999997</v>
      </c>
      <c r="C38" s="2">
        <v>172.94</v>
      </c>
      <c r="D38" s="2">
        <v>18.899999999999999</v>
      </c>
      <c r="F38" s="3">
        <f>A38-$A$2</f>
        <v>12.260833333333352</v>
      </c>
      <c r="G38" s="3">
        <f t="shared" si="3"/>
        <v>0.10336666666666638</v>
      </c>
      <c r="H38" s="3">
        <f t="shared" si="4"/>
        <v>11.938333333333333</v>
      </c>
      <c r="I38" s="3">
        <f t="shared" si="5"/>
        <v>-12.540833333333335</v>
      </c>
    </row>
    <row r="39" spans="1:9" x14ac:dyDescent="0.3">
      <c r="A39" s="2">
        <v>57.5</v>
      </c>
      <c r="B39" s="2">
        <v>0.73199999999999998</v>
      </c>
      <c r="C39" s="2">
        <v>172.87</v>
      </c>
      <c r="D39" s="2">
        <v>19.2</v>
      </c>
      <c r="F39" s="3">
        <f>A39-$A$2</f>
        <v>12.16083333333335</v>
      </c>
      <c r="G39" s="3">
        <f t="shared" si="3"/>
        <v>0.1163666666666664</v>
      </c>
      <c r="H39" s="3">
        <f t="shared" si="4"/>
        <v>11.868333333333339</v>
      </c>
      <c r="I39" s="3">
        <f t="shared" si="5"/>
        <v>-12.240833333333335</v>
      </c>
    </row>
    <row r="40" spans="1:9" x14ac:dyDescent="0.3">
      <c r="A40" s="2">
        <v>57.8</v>
      </c>
      <c r="B40" s="2">
        <v>0.72499999999999998</v>
      </c>
      <c r="C40" s="2">
        <v>172.72</v>
      </c>
      <c r="D40" s="2">
        <v>19.2</v>
      </c>
      <c r="F40" s="3">
        <f>A40-$A$2</f>
        <v>12.460833333333348</v>
      </c>
      <c r="G40" s="3">
        <f t="shared" si="3"/>
        <v>0.10936666666666639</v>
      </c>
      <c r="H40" s="3">
        <f t="shared" si="4"/>
        <v>11.718333333333334</v>
      </c>
      <c r="I40" s="3">
        <f t="shared" si="5"/>
        <v>-12.240833333333335</v>
      </c>
    </row>
    <row r="41" spans="1:9" x14ac:dyDescent="0.3">
      <c r="A41" s="2">
        <v>57.2</v>
      </c>
      <c r="B41" s="2">
        <v>0.77400000000000002</v>
      </c>
      <c r="C41" s="2">
        <v>173.32</v>
      </c>
      <c r="D41" s="2">
        <v>19.100000000000001</v>
      </c>
      <c r="F41" s="3">
        <f>A41-$A$2</f>
        <v>11.860833333333353</v>
      </c>
      <c r="G41" s="3">
        <f t="shared" si="3"/>
        <v>0.15836666666666643</v>
      </c>
      <c r="H41" s="3">
        <f t="shared" si="4"/>
        <v>12.318333333333328</v>
      </c>
      <c r="I41" s="3">
        <f t="shared" si="5"/>
        <v>-12.340833333333332</v>
      </c>
    </row>
    <row r="42" spans="1:9" x14ac:dyDescent="0.3">
      <c r="A42" s="2">
        <v>57</v>
      </c>
      <c r="B42" s="2">
        <v>0.74099999999999999</v>
      </c>
      <c r="C42" s="2">
        <v>156.6</v>
      </c>
      <c r="D42" s="2">
        <v>19</v>
      </c>
      <c r="F42" s="3">
        <f>A42-$A$2</f>
        <v>11.66083333333335</v>
      </c>
      <c r="G42" s="3">
        <f t="shared" si="3"/>
        <v>0.1253666666666664</v>
      </c>
      <c r="H42" s="3">
        <f t="shared" si="4"/>
        <v>-4.4016666666666708</v>
      </c>
      <c r="I42" s="3">
        <f t="shared" si="5"/>
        <v>-12.440833333333334</v>
      </c>
    </row>
    <row r="43" spans="1:9" x14ac:dyDescent="0.3">
      <c r="A43" s="2">
        <v>56.3</v>
      </c>
      <c r="B43" s="2">
        <v>0.72799999999999998</v>
      </c>
      <c r="C43" s="2">
        <v>173.06</v>
      </c>
      <c r="D43" s="2">
        <v>19.600000000000001</v>
      </c>
      <c r="F43" s="3">
        <f>A43-$A$2</f>
        <v>10.960833333333348</v>
      </c>
      <c r="G43" s="3">
        <f t="shared" si="3"/>
        <v>0.11236666666666639</v>
      </c>
      <c r="H43" s="3">
        <f t="shared" si="4"/>
        <v>12.058333333333337</v>
      </c>
      <c r="I43" s="3">
        <f t="shared" si="5"/>
        <v>-11.840833333333332</v>
      </c>
    </row>
    <row r="44" spans="1:9" x14ac:dyDescent="0.3">
      <c r="A44" s="2">
        <v>57.2</v>
      </c>
      <c r="B44" s="2">
        <v>0.70599999999999996</v>
      </c>
      <c r="C44" s="2">
        <v>166.57</v>
      </c>
      <c r="D44" s="2">
        <v>18.8</v>
      </c>
      <c r="F44" s="3">
        <f>A44-$A$2</f>
        <v>11.860833333333353</v>
      </c>
      <c r="G44" s="3">
        <f t="shared" si="3"/>
        <v>9.0366666666666373E-2</v>
      </c>
      <c r="H44" s="3">
        <f t="shared" si="4"/>
        <v>5.568333333333328</v>
      </c>
      <c r="I44" s="3">
        <f t="shared" si="5"/>
        <v>-12.640833333333333</v>
      </c>
    </row>
    <row r="45" spans="1:9" x14ac:dyDescent="0.3">
      <c r="A45" s="2">
        <v>57.2</v>
      </c>
      <c r="B45" s="2">
        <v>0.72499999999999998</v>
      </c>
      <c r="C45" s="2">
        <v>172.58</v>
      </c>
      <c r="D45" s="2">
        <v>18.899999999999999</v>
      </c>
      <c r="F45" s="3">
        <f>A45-$A$2</f>
        <v>11.860833333333353</v>
      </c>
      <c r="G45" s="3">
        <f t="shared" si="3"/>
        <v>0.10936666666666639</v>
      </c>
      <c r="H45" s="3">
        <f t="shared" si="4"/>
        <v>11.578333333333347</v>
      </c>
      <c r="I45" s="3">
        <f t="shared" si="5"/>
        <v>-12.540833333333335</v>
      </c>
    </row>
    <row r="46" spans="1:9" x14ac:dyDescent="0.3">
      <c r="A46" s="2">
        <v>57.2</v>
      </c>
      <c r="B46" s="2">
        <v>0.69699999999999995</v>
      </c>
      <c r="C46" s="2">
        <v>166.75</v>
      </c>
      <c r="D46" s="2">
        <v>18.8</v>
      </c>
      <c r="F46" s="3">
        <f>A46-$A$2</f>
        <v>11.860833333333353</v>
      </c>
      <c r="G46" s="3">
        <f t="shared" si="3"/>
        <v>8.1366666666666365E-2</v>
      </c>
      <c r="H46" s="3">
        <f t="shared" si="4"/>
        <v>5.7483333333333348</v>
      </c>
      <c r="I46" s="3">
        <f t="shared" si="5"/>
        <v>-12.640833333333333</v>
      </c>
    </row>
    <row r="47" spans="1:9" x14ac:dyDescent="0.3">
      <c r="A47" s="2">
        <v>57.1</v>
      </c>
      <c r="B47" s="2">
        <v>0.71899999999999997</v>
      </c>
      <c r="C47" s="2">
        <v>172.86</v>
      </c>
      <c r="D47" s="2">
        <v>18.7</v>
      </c>
      <c r="F47" s="3">
        <f>A47-$A$2</f>
        <v>11.760833333333352</v>
      </c>
      <c r="G47" s="3">
        <f t="shared" si="3"/>
        <v>0.10336666666666638</v>
      </c>
      <c r="H47" s="3">
        <f t="shared" si="4"/>
        <v>11.858333333333348</v>
      </c>
      <c r="I47" s="3">
        <f t="shared" si="5"/>
        <v>-12.740833333333335</v>
      </c>
    </row>
    <row r="48" spans="1:9" x14ac:dyDescent="0.3">
      <c r="A48" s="2">
        <v>56.6</v>
      </c>
      <c r="B48" s="2">
        <v>0.66</v>
      </c>
      <c r="C48" s="2">
        <v>156.31</v>
      </c>
      <c r="D48" s="2">
        <v>18.600000000000001</v>
      </c>
      <c r="F48" s="3">
        <f>A48-$A$2</f>
        <v>11.260833333333352</v>
      </c>
      <c r="G48" s="3">
        <f t="shared" si="3"/>
        <v>4.4366666666666443E-2</v>
      </c>
      <c r="H48" s="3">
        <f t="shared" si="4"/>
        <v>-4.6916666666666629</v>
      </c>
      <c r="I48" s="3">
        <f t="shared" si="5"/>
        <v>-12.840833333333332</v>
      </c>
    </row>
    <row r="49" spans="1:9" x14ac:dyDescent="0.3">
      <c r="A49" s="2">
        <v>55.9</v>
      </c>
      <c r="B49" s="2">
        <v>0.64600000000000002</v>
      </c>
      <c r="C49" s="2">
        <v>156.32</v>
      </c>
      <c r="D49" s="2">
        <v>20.100000000000001</v>
      </c>
      <c r="F49" s="3">
        <f>A49-$A$2</f>
        <v>10.560833333333349</v>
      </c>
      <c r="G49" s="3">
        <f t="shared" si="3"/>
        <v>3.0366666666666431E-2</v>
      </c>
      <c r="H49" s="3">
        <f t="shared" si="4"/>
        <v>-4.681666666666672</v>
      </c>
      <c r="I49" s="3">
        <f t="shared" si="5"/>
        <v>-11.340833333333332</v>
      </c>
    </row>
    <row r="50" spans="1:9" x14ac:dyDescent="0.3">
      <c r="A50" s="2">
        <v>51.2</v>
      </c>
      <c r="B50" s="2">
        <v>0.59199999999999997</v>
      </c>
      <c r="C50" s="2">
        <v>157.09</v>
      </c>
      <c r="D50" s="2">
        <v>27</v>
      </c>
      <c r="F50" s="3">
        <f>A50-$A$2</f>
        <v>5.8608333333333533</v>
      </c>
      <c r="G50" s="3">
        <f t="shared" si="3"/>
        <v>-2.3633333333333617E-2</v>
      </c>
      <c r="H50" s="3">
        <f t="shared" si="4"/>
        <v>-3.9116666666666617</v>
      </c>
      <c r="I50" s="3">
        <f t="shared" si="5"/>
        <v>-4.4408333333333339</v>
      </c>
    </row>
    <row r="51" spans="1:9" x14ac:dyDescent="0.3">
      <c r="A51" s="2">
        <v>48.1</v>
      </c>
      <c r="B51" s="2">
        <v>0.59499999999999997</v>
      </c>
      <c r="C51" s="2">
        <v>157.86000000000001</v>
      </c>
      <c r="D51" s="2">
        <v>26.3</v>
      </c>
      <c r="F51" s="3">
        <f>A51-$A$2</f>
        <v>2.7608333333333519</v>
      </c>
      <c r="G51" s="3">
        <f t="shared" si="3"/>
        <v>-2.0633333333333614E-2</v>
      </c>
      <c r="H51" s="3">
        <f t="shared" si="4"/>
        <v>-3.1416666666666515</v>
      </c>
      <c r="I51" s="3">
        <f t="shared" si="5"/>
        <v>-5.1408333333333331</v>
      </c>
    </row>
    <row r="52" spans="1:9" x14ac:dyDescent="0.3">
      <c r="A52" s="2">
        <v>47.4</v>
      </c>
      <c r="B52" s="2">
        <v>0.59599999999999997</v>
      </c>
      <c r="C52" s="2">
        <v>158.09</v>
      </c>
      <c r="D52" s="2">
        <v>26.3</v>
      </c>
      <c r="F52" s="3">
        <f>A52-$A$2</f>
        <v>2.0608333333333491</v>
      </c>
      <c r="G52" s="3">
        <f t="shared" si="3"/>
        <v>-1.9633333333333614E-2</v>
      </c>
      <c r="H52" s="3">
        <f t="shared" si="4"/>
        <v>-2.9116666666666617</v>
      </c>
      <c r="I52" s="3">
        <f t="shared" si="5"/>
        <v>-5.1408333333333331</v>
      </c>
    </row>
    <row r="53" spans="1:9" x14ac:dyDescent="0.3">
      <c r="A53" s="2">
        <v>47.1</v>
      </c>
      <c r="B53" s="2">
        <v>0.59699999999999998</v>
      </c>
      <c r="C53" s="2">
        <v>158.16</v>
      </c>
      <c r="D53" s="2">
        <v>26.3</v>
      </c>
      <c r="F53" s="3">
        <f>A53-$A$2</f>
        <v>1.7608333333333519</v>
      </c>
      <c r="G53" s="3">
        <f t="shared" si="3"/>
        <v>-1.8633333333333613E-2</v>
      </c>
      <c r="H53" s="3">
        <f t="shared" si="4"/>
        <v>-2.8416666666666686</v>
      </c>
      <c r="I53" s="3">
        <f t="shared" si="5"/>
        <v>-5.1408333333333331</v>
      </c>
    </row>
    <row r="54" spans="1:9" x14ac:dyDescent="0.3">
      <c r="A54" s="2">
        <v>46.9</v>
      </c>
      <c r="B54" s="2">
        <v>0.59399999999999997</v>
      </c>
      <c r="C54" s="2">
        <v>158.24</v>
      </c>
      <c r="D54" s="2">
        <v>26.2</v>
      </c>
      <c r="F54" s="3">
        <f>A54-$A$2</f>
        <v>1.5608333333333491</v>
      </c>
      <c r="G54" s="3">
        <f t="shared" si="3"/>
        <v>-2.1633333333333615E-2</v>
      </c>
      <c r="H54" s="3">
        <f t="shared" si="4"/>
        <v>-2.7616666666666561</v>
      </c>
      <c r="I54" s="3">
        <f t="shared" si="5"/>
        <v>-5.2408333333333346</v>
      </c>
    </row>
    <row r="55" spans="1:9" x14ac:dyDescent="0.3">
      <c r="A55" s="2">
        <v>46.8</v>
      </c>
      <c r="B55" s="2">
        <v>0.59299999999999997</v>
      </c>
      <c r="C55" s="2">
        <v>158.25</v>
      </c>
      <c r="D55" s="2">
        <v>26.2</v>
      </c>
      <c r="F55" s="3">
        <f>A55-$A$2</f>
        <v>1.4608333333333476</v>
      </c>
      <c r="G55" s="3">
        <f t="shared" si="3"/>
        <v>-2.2633333333333616E-2</v>
      </c>
      <c r="H55" s="3">
        <f t="shared" si="4"/>
        <v>-2.7516666666666652</v>
      </c>
      <c r="I55" s="3">
        <f t="shared" si="5"/>
        <v>-5.2408333333333346</v>
      </c>
    </row>
    <row r="56" spans="1:9" x14ac:dyDescent="0.3">
      <c r="A56" s="2">
        <v>46.7</v>
      </c>
      <c r="B56" s="2">
        <v>0.60399999999999998</v>
      </c>
      <c r="C56" s="2">
        <v>158.30000000000001</v>
      </c>
      <c r="D56" s="2">
        <v>26.4</v>
      </c>
      <c r="F56" s="3">
        <f>A56-$A$2</f>
        <v>1.3608333333333533</v>
      </c>
      <c r="G56" s="3">
        <f t="shared" si="3"/>
        <v>-1.1633333333333606E-2</v>
      </c>
      <c r="H56" s="3">
        <f t="shared" si="4"/>
        <v>-2.7016666666666538</v>
      </c>
      <c r="I56" s="3">
        <f t="shared" si="5"/>
        <v>-5.0408333333333353</v>
      </c>
    </row>
    <row r="57" spans="1:9" x14ac:dyDescent="0.3">
      <c r="A57" s="2">
        <v>46.6</v>
      </c>
      <c r="B57" s="2">
        <v>0.60099999999999998</v>
      </c>
      <c r="C57" s="2">
        <v>158.32</v>
      </c>
      <c r="D57" s="2">
        <v>26.3</v>
      </c>
      <c r="F57" s="3">
        <f>A57-$A$2</f>
        <v>1.2608333333333519</v>
      </c>
      <c r="G57" s="3">
        <f t="shared" si="3"/>
        <v>-1.4633333333333609E-2</v>
      </c>
      <c r="H57" s="3">
        <f t="shared" si="4"/>
        <v>-2.681666666666672</v>
      </c>
      <c r="I57" s="3">
        <f t="shared" si="5"/>
        <v>-5.1408333333333331</v>
      </c>
    </row>
    <row r="58" spans="1:9" x14ac:dyDescent="0.3">
      <c r="A58" s="2">
        <v>46.5</v>
      </c>
      <c r="B58" s="2">
        <v>0.61399999999999999</v>
      </c>
      <c r="C58" s="2">
        <v>158.30000000000001</v>
      </c>
      <c r="D58" s="2">
        <v>26.5</v>
      </c>
      <c r="F58" s="3">
        <f>A58-$A$2</f>
        <v>1.1608333333333505</v>
      </c>
      <c r="G58" s="3">
        <f t="shared" si="3"/>
        <v>-1.6333333333335975E-3</v>
      </c>
      <c r="H58" s="3">
        <f t="shared" si="4"/>
        <v>-2.7016666666666538</v>
      </c>
      <c r="I58" s="3">
        <f t="shared" si="5"/>
        <v>-4.9408333333333339</v>
      </c>
    </row>
    <row r="59" spans="1:9" x14ac:dyDescent="0.3">
      <c r="A59" s="2">
        <v>46.5</v>
      </c>
      <c r="B59" s="2">
        <v>0.61</v>
      </c>
      <c r="C59" s="2">
        <v>158.35</v>
      </c>
      <c r="D59" s="2">
        <v>26.8</v>
      </c>
      <c r="F59" s="3">
        <f>A59-$A$2</f>
        <v>1.1608333333333505</v>
      </c>
      <c r="G59" s="3">
        <f t="shared" si="3"/>
        <v>-5.6333333333336011E-3</v>
      </c>
      <c r="H59" s="3">
        <f t="shared" si="4"/>
        <v>-2.6516666666666708</v>
      </c>
      <c r="I59" s="3">
        <f t="shared" si="5"/>
        <v>-4.6408333333333331</v>
      </c>
    </row>
    <row r="60" spans="1:9" x14ac:dyDescent="0.3">
      <c r="A60" s="2">
        <v>46.4</v>
      </c>
      <c r="B60" s="2">
        <v>0.622</v>
      </c>
      <c r="C60" s="2">
        <v>158.38999999999999</v>
      </c>
      <c r="D60" s="2">
        <v>26.5</v>
      </c>
      <c r="F60" s="3">
        <f>A60-$A$2</f>
        <v>1.0608333333333491</v>
      </c>
      <c r="G60" s="3">
        <f t="shared" si="3"/>
        <v>6.3666666666664096E-3</v>
      </c>
      <c r="H60" s="3">
        <f t="shared" si="4"/>
        <v>-2.6116666666666788</v>
      </c>
      <c r="I60" s="3">
        <f t="shared" si="5"/>
        <v>-4.9408333333333339</v>
      </c>
    </row>
    <row r="61" spans="1:9" x14ac:dyDescent="0.3">
      <c r="A61" s="2">
        <v>46.1</v>
      </c>
      <c r="B61" s="2">
        <v>0.61699999999999999</v>
      </c>
      <c r="C61" s="2">
        <v>158.1</v>
      </c>
      <c r="D61" s="2">
        <v>26.7</v>
      </c>
      <c r="F61" s="3">
        <f>A61-$A$2</f>
        <v>0.7608333333333519</v>
      </c>
      <c r="G61" s="3">
        <f t="shared" si="3"/>
        <v>1.3666666666664051E-3</v>
      </c>
      <c r="H61" s="3">
        <f t="shared" si="4"/>
        <v>-2.9016666666666708</v>
      </c>
      <c r="I61" s="3">
        <f t="shared" si="5"/>
        <v>-4.7408333333333346</v>
      </c>
    </row>
    <row r="62" spans="1:9" x14ac:dyDescent="0.3">
      <c r="A62" s="2">
        <v>46</v>
      </c>
      <c r="B62" s="2">
        <v>0.627</v>
      </c>
      <c r="C62" s="2">
        <v>157.91999999999999</v>
      </c>
      <c r="D62" s="2">
        <v>26.9</v>
      </c>
      <c r="F62" s="3">
        <f>A62-$A$2</f>
        <v>0.66083333333335048</v>
      </c>
      <c r="G62" s="3">
        <f t="shared" si="3"/>
        <v>1.1366666666666414E-2</v>
      </c>
      <c r="H62" s="3">
        <f t="shared" si="4"/>
        <v>-3.0816666666666777</v>
      </c>
      <c r="I62" s="3">
        <f t="shared" si="5"/>
        <v>-4.5408333333333353</v>
      </c>
    </row>
    <row r="63" spans="1:9" x14ac:dyDescent="0.3">
      <c r="A63" s="2">
        <v>46</v>
      </c>
      <c r="B63" s="2">
        <v>0.622</v>
      </c>
      <c r="C63" s="2">
        <v>157.87</v>
      </c>
      <c r="D63" s="2">
        <v>27.2</v>
      </c>
      <c r="F63" s="3">
        <f>A63-$A$2</f>
        <v>0.66083333333335048</v>
      </c>
      <c r="G63" s="3">
        <f t="shared" si="3"/>
        <v>6.3666666666664096E-3</v>
      </c>
      <c r="H63" s="3">
        <f t="shared" si="4"/>
        <v>-3.1316666666666606</v>
      </c>
      <c r="I63" s="3">
        <f t="shared" si="5"/>
        <v>-4.2408333333333346</v>
      </c>
    </row>
    <row r="64" spans="1:9" x14ac:dyDescent="0.3">
      <c r="A64" s="2">
        <v>45.9</v>
      </c>
      <c r="B64" s="2">
        <v>0.629</v>
      </c>
      <c r="C64" s="2">
        <v>158.30000000000001</v>
      </c>
      <c r="D64" s="2">
        <v>27.4</v>
      </c>
      <c r="F64" s="3">
        <f>A64-$A$2</f>
        <v>0.56083333333334906</v>
      </c>
      <c r="G64" s="3">
        <f t="shared" si="3"/>
        <v>1.3366666666666416E-2</v>
      </c>
      <c r="H64" s="3">
        <f t="shared" si="4"/>
        <v>-2.7016666666666538</v>
      </c>
      <c r="I64" s="3">
        <f t="shared" si="5"/>
        <v>-4.0408333333333353</v>
      </c>
    </row>
    <row r="65" spans="1:9" x14ac:dyDescent="0.3">
      <c r="A65" s="2">
        <v>45.7</v>
      </c>
      <c r="B65" s="2">
        <v>0.629</v>
      </c>
      <c r="C65" s="2">
        <v>158.24</v>
      </c>
      <c r="D65" s="2">
        <v>27.7</v>
      </c>
      <c r="F65" s="3">
        <f>A65-$A$2</f>
        <v>0.36083333333335332</v>
      </c>
      <c r="G65" s="3">
        <f t="shared" si="3"/>
        <v>1.3366666666666416E-2</v>
      </c>
      <c r="H65" s="3">
        <f t="shared" si="4"/>
        <v>-2.7616666666666561</v>
      </c>
      <c r="I65" s="3">
        <f t="shared" si="5"/>
        <v>-3.7408333333333346</v>
      </c>
    </row>
    <row r="66" spans="1:9" x14ac:dyDescent="0.3">
      <c r="A66" s="2">
        <v>45.7</v>
      </c>
      <c r="B66" s="2">
        <v>0.624</v>
      </c>
      <c r="C66" s="2">
        <v>158.78</v>
      </c>
      <c r="D66" s="2">
        <v>28.2</v>
      </c>
      <c r="F66" s="3">
        <f>A66-$A$2</f>
        <v>0.36083333333335332</v>
      </c>
      <c r="G66" s="3">
        <f t="shared" si="3"/>
        <v>8.3666666666664113E-3</v>
      </c>
      <c r="H66" s="3">
        <f t="shared" si="4"/>
        <v>-2.221666666666664</v>
      </c>
      <c r="I66" s="3">
        <f t="shared" si="5"/>
        <v>-3.2408333333333346</v>
      </c>
    </row>
    <row r="67" spans="1:9" x14ac:dyDescent="0.3">
      <c r="A67" s="2">
        <v>45.6</v>
      </c>
      <c r="B67" s="2">
        <v>0.61099999999999999</v>
      </c>
      <c r="C67" s="2">
        <v>158.63999999999999</v>
      </c>
      <c r="D67" s="2">
        <v>28.1</v>
      </c>
      <c r="F67" s="3">
        <f>A67-$A$2</f>
        <v>0.2608333333333519</v>
      </c>
      <c r="G67" s="3">
        <f t="shared" si="3"/>
        <v>-4.6333333333336002E-3</v>
      </c>
      <c r="H67" s="3">
        <f t="shared" si="4"/>
        <v>-2.3616666666666788</v>
      </c>
      <c r="I67" s="3">
        <f t="shared" si="5"/>
        <v>-3.3408333333333324</v>
      </c>
    </row>
    <row r="68" spans="1:9" x14ac:dyDescent="0.3">
      <c r="A68" s="2">
        <v>45.4</v>
      </c>
      <c r="B68" s="2">
        <v>0.60399999999999998</v>
      </c>
      <c r="C68" s="2">
        <v>158.65</v>
      </c>
      <c r="D68" s="2">
        <v>27.8</v>
      </c>
      <c r="F68" s="3">
        <f>A68-$A$2</f>
        <v>6.083333333334906E-2</v>
      </c>
      <c r="G68" s="3">
        <f t="shared" si="3"/>
        <v>-1.1633333333333606E-2</v>
      </c>
      <c r="H68" s="3">
        <f t="shared" si="4"/>
        <v>-2.3516666666666595</v>
      </c>
      <c r="I68" s="3">
        <f t="shared" si="5"/>
        <v>-3.6408333333333331</v>
      </c>
    </row>
    <row r="69" spans="1:9" x14ac:dyDescent="0.3">
      <c r="A69" s="2">
        <v>45</v>
      </c>
      <c r="B69" s="2">
        <v>0.61399999999999999</v>
      </c>
      <c r="C69" s="2">
        <v>158.22</v>
      </c>
      <c r="D69" s="2">
        <v>27.8</v>
      </c>
      <c r="F69" s="3">
        <f>A69-$A$2</f>
        <v>-0.33916666666664952</v>
      </c>
      <c r="G69" s="3">
        <f t="shared" si="3"/>
        <v>-1.6333333333335975E-3</v>
      </c>
      <c r="H69" s="3">
        <f t="shared" si="4"/>
        <v>-2.7816666666666663</v>
      </c>
      <c r="I69" s="3">
        <f t="shared" si="5"/>
        <v>-3.6408333333333331</v>
      </c>
    </row>
    <row r="70" spans="1:9" x14ac:dyDescent="0.3">
      <c r="A70" s="2">
        <v>44.8</v>
      </c>
      <c r="B70" s="2">
        <v>0.61399999999999999</v>
      </c>
      <c r="C70" s="2">
        <v>158.12</v>
      </c>
      <c r="D70" s="2">
        <v>27.7</v>
      </c>
      <c r="F70" s="3">
        <f>A70-$A$2</f>
        <v>-0.53916666666665236</v>
      </c>
      <c r="G70" s="3">
        <f t="shared" si="3"/>
        <v>-1.6333333333335975E-3</v>
      </c>
      <c r="H70" s="3">
        <f t="shared" si="4"/>
        <v>-2.8816666666666606</v>
      </c>
      <c r="I70" s="3">
        <f t="shared" si="5"/>
        <v>-3.7408333333333346</v>
      </c>
    </row>
    <row r="71" spans="1:9" x14ac:dyDescent="0.3">
      <c r="A71" s="2">
        <v>44.8</v>
      </c>
      <c r="B71" s="2">
        <v>0.61599999999999999</v>
      </c>
      <c r="C71" s="2">
        <v>158.55000000000001</v>
      </c>
      <c r="D71" s="2">
        <v>27.5</v>
      </c>
      <c r="F71" s="3">
        <f>A71-$A$2</f>
        <v>-0.53916666666665236</v>
      </c>
      <c r="G71" s="3">
        <f t="shared" si="3"/>
        <v>3.6666666666640424E-4</v>
      </c>
      <c r="H71" s="3">
        <f t="shared" si="4"/>
        <v>-2.4516666666666538</v>
      </c>
      <c r="I71" s="3">
        <f t="shared" si="5"/>
        <v>-3.9408333333333339</v>
      </c>
    </row>
    <row r="72" spans="1:9" x14ac:dyDescent="0.3">
      <c r="A72" s="2">
        <v>44.6</v>
      </c>
      <c r="B72" s="2">
        <v>0.61299999999999999</v>
      </c>
      <c r="C72" s="2">
        <v>158.47999999999999</v>
      </c>
      <c r="D72" s="2">
        <v>27.8</v>
      </c>
      <c r="F72" s="3">
        <f>A72-$A$2</f>
        <v>-0.7391666666666481</v>
      </c>
      <c r="G72" s="3">
        <f t="shared" si="3"/>
        <v>-2.6333333333335984E-3</v>
      </c>
      <c r="H72" s="3">
        <f t="shared" si="4"/>
        <v>-2.5216666666666754</v>
      </c>
      <c r="I72" s="3">
        <f t="shared" si="5"/>
        <v>-3.6408333333333331</v>
      </c>
    </row>
    <row r="73" spans="1:9" x14ac:dyDescent="0.3">
      <c r="A73" s="2">
        <v>44.6</v>
      </c>
      <c r="B73" s="2">
        <v>0.60899999999999999</v>
      </c>
      <c r="C73" s="2">
        <v>159.12</v>
      </c>
      <c r="D73" s="2">
        <v>27.6</v>
      </c>
      <c r="F73" s="3">
        <f>A73-$A$2</f>
        <v>-0.7391666666666481</v>
      </c>
      <c r="G73" s="3">
        <f t="shared" si="3"/>
        <v>-6.633333333333602E-3</v>
      </c>
      <c r="H73" s="3">
        <f t="shared" si="4"/>
        <v>-1.8816666666666606</v>
      </c>
      <c r="I73" s="3">
        <f t="shared" si="5"/>
        <v>-3.8408333333333324</v>
      </c>
    </row>
    <row r="74" spans="1:9" x14ac:dyDescent="0.3">
      <c r="A74" s="2">
        <v>44.6</v>
      </c>
      <c r="B74" s="2">
        <v>0.61199999999999999</v>
      </c>
      <c r="C74" s="2">
        <v>158.96</v>
      </c>
      <c r="D74" s="2">
        <v>27.6</v>
      </c>
      <c r="F74" s="3">
        <f>A74-$A$2</f>
        <v>-0.7391666666666481</v>
      </c>
      <c r="G74" s="3">
        <f t="shared" si="3"/>
        <v>-3.6333333333335993E-3</v>
      </c>
      <c r="H74" s="3">
        <f t="shared" si="4"/>
        <v>-2.0416666666666572</v>
      </c>
      <c r="I74" s="3">
        <f t="shared" si="5"/>
        <v>-3.8408333333333324</v>
      </c>
    </row>
    <row r="75" spans="1:9" x14ac:dyDescent="0.3">
      <c r="A75" s="2">
        <v>44.4</v>
      </c>
      <c r="B75" s="2">
        <v>0.60299999999999998</v>
      </c>
      <c r="C75" s="2">
        <v>158.93</v>
      </c>
      <c r="D75" s="2">
        <v>27.6</v>
      </c>
      <c r="F75" s="3">
        <f t="shared" ref="F75:F129" si="6">A75-$A$2</f>
        <v>-0.93916666666665094</v>
      </c>
      <c r="G75" s="3">
        <f t="shared" ref="G75:G129" si="7">B75-$B$2</f>
        <v>-1.2633333333333607E-2</v>
      </c>
      <c r="H75" s="3">
        <f t="shared" ref="H75:H129" si="8">C75-$C$2</f>
        <v>-2.0716666666666583</v>
      </c>
      <c r="I75" s="3">
        <f t="shared" ref="I75:I129" si="9">D75-$D$2</f>
        <v>-3.8408333333333324</v>
      </c>
    </row>
    <row r="76" spans="1:9" x14ac:dyDescent="0.3">
      <c r="A76" s="2">
        <v>44.1</v>
      </c>
      <c r="B76" s="2">
        <v>0.623</v>
      </c>
      <c r="C76" s="2">
        <v>158.44999999999999</v>
      </c>
      <c r="D76" s="2">
        <v>27.4</v>
      </c>
      <c r="F76" s="3">
        <f t="shared" si="6"/>
        <v>-1.2391666666666481</v>
      </c>
      <c r="G76" s="3">
        <f t="shared" si="7"/>
        <v>7.3666666666664105E-3</v>
      </c>
      <c r="H76" s="3">
        <f t="shared" si="8"/>
        <v>-2.5516666666666765</v>
      </c>
      <c r="I76" s="3">
        <f t="shared" si="9"/>
        <v>-4.0408333333333353</v>
      </c>
    </row>
    <row r="77" spans="1:9" x14ac:dyDescent="0.3">
      <c r="A77" s="2">
        <v>44.1</v>
      </c>
      <c r="B77" s="2">
        <v>0.61599999999999999</v>
      </c>
      <c r="C77" s="2">
        <v>158.38</v>
      </c>
      <c r="D77" s="2">
        <v>27.3</v>
      </c>
      <c r="F77" s="3">
        <f t="shared" si="6"/>
        <v>-1.2391666666666481</v>
      </c>
      <c r="G77" s="3">
        <f t="shared" si="7"/>
        <v>3.6666666666640424E-4</v>
      </c>
      <c r="H77" s="3">
        <f t="shared" si="8"/>
        <v>-2.6216666666666697</v>
      </c>
      <c r="I77" s="3">
        <f t="shared" si="9"/>
        <v>-4.1408333333333331</v>
      </c>
    </row>
    <row r="78" spans="1:9" x14ac:dyDescent="0.3">
      <c r="A78" s="2">
        <v>44.1</v>
      </c>
      <c r="B78" s="2">
        <v>0.61699999999999999</v>
      </c>
      <c r="C78" s="2">
        <v>158.85</v>
      </c>
      <c r="D78" s="2">
        <v>27.9</v>
      </c>
      <c r="F78" s="3">
        <f t="shared" si="6"/>
        <v>-1.2391666666666481</v>
      </c>
      <c r="G78" s="3">
        <f t="shared" si="7"/>
        <v>1.3666666666664051E-3</v>
      </c>
      <c r="H78" s="3">
        <f t="shared" si="8"/>
        <v>-2.1516666666666708</v>
      </c>
      <c r="I78" s="3">
        <f t="shared" si="9"/>
        <v>-3.5408333333333353</v>
      </c>
    </row>
    <row r="79" spans="1:9" x14ac:dyDescent="0.3">
      <c r="A79" s="2">
        <v>44.1</v>
      </c>
      <c r="B79" s="2">
        <v>0.61299999999999999</v>
      </c>
      <c r="C79" s="2">
        <v>158.69</v>
      </c>
      <c r="D79" s="2">
        <v>27.5</v>
      </c>
      <c r="F79" s="3">
        <f t="shared" si="6"/>
        <v>-1.2391666666666481</v>
      </c>
      <c r="G79" s="3">
        <f t="shared" si="7"/>
        <v>-2.6333333333335984E-3</v>
      </c>
      <c r="H79" s="3">
        <f t="shared" si="8"/>
        <v>-2.3116666666666674</v>
      </c>
      <c r="I79" s="3">
        <f t="shared" si="9"/>
        <v>-3.9408333333333339</v>
      </c>
    </row>
    <row r="80" spans="1:9" x14ac:dyDescent="0.3">
      <c r="A80" s="2">
        <v>44.3</v>
      </c>
      <c r="B80" s="2">
        <v>0.61199999999999999</v>
      </c>
      <c r="C80" s="2">
        <v>159.22999999999999</v>
      </c>
      <c r="D80" s="2">
        <v>27.3</v>
      </c>
      <c r="F80" s="3">
        <f t="shared" si="6"/>
        <v>-1.0391666666666524</v>
      </c>
      <c r="G80" s="3">
        <f t="shared" si="7"/>
        <v>-3.6333333333335993E-3</v>
      </c>
      <c r="H80" s="3">
        <f t="shared" si="8"/>
        <v>-1.7716666666666754</v>
      </c>
      <c r="I80" s="3">
        <f t="shared" si="9"/>
        <v>-4.1408333333333331</v>
      </c>
    </row>
    <row r="81" spans="1:9" x14ac:dyDescent="0.3">
      <c r="A81" s="2">
        <v>44.3</v>
      </c>
      <c r="B81" s="2">
        <v>0.60199999999999998</v>
      </c>
      <c r="C81" s="2">
        <v>159.05000000000001</v>
      </c>
      <c r="D81" s="2">
        <v>27.4</v>
      </c>
      <c r="F81" s="3">
        <f t="shared" si="6"/>
        <v>-1.0391666666666524</v>
      </c>
      <c r="G81" s="3">
        <f t="shared" si="7"/>
        <v>-1.3633333333333608E-2</v>
      </c>
      <c r="H81" s="3">
        <f t="shared" si="8"/>
        <v>-1.9516666666666538</v>
      </c>
      <c r="I81" s="3">
        <f t="shared" si="9"/>
        <v>-4.0408333333333353</v>
      </c>
    </row>
    <row r="82" spans="1:9" x14ac:dyDescent="0.3">
      <c r="A82" s="2">
        <v>44.3</v>
      </c>
      <c r="B82" s="2">
        <v>0.60399999999999998</v>
      </c>
      <c r="C82" s="2">
        <v>158.99</v>
      </c>
      <c r="D82" s="2">
        <v>27.5</v>
      </c>
      <c r="F82" s="3">
        <f t="shared" si="6"/>
        <v>-1.0391666666666524</v>
      </c>
      <c r="G82" s="3">
        <f t="shared" si="7"/>
        <v>-1.1633333333333606E-2</v>
      </c>
      <c r="H82" s="3">
        <f t="shared" si="8"/>
        <v>-2.0116666666666561</v>
      </c>
      <c r="I82" s="3">
        <f t="shared" si="9"/>
        <v>-3.9408333333333339</v>
      </c>
    </row>
    <row r="83" spans="1:9" x14ac:dyDescent="0.3">
      <c r="A83" s="2">
        <v>44</v>
      </c>
      <c r="B83" s="2">
        <v>0.60799999999999998</v>
      </c>
      <c r="C83" s="2">
        <v>158.52000000000001</v>
      </c>
      <c r="D83" s="2">
        <v>27.3</v>
      </c>
      <c r="F83" s="3">
        <f t="shared" si="6"/>
        <v>-1.3391666666666495</v>
      </c>
      <c r="G83" s="3">
        <f t="shared" si="7"/>
        <v>-7.6333333333336029E-3</v>
      </c>
      <c r="H83" s="3">
        <f t="shared" si="8"/>
        <v>-2.4816666666666549</v>
      </c>
      <c r="I83" s="3">
        <f t="shared" si="9"/>
        <v>-4.1408333333333331</v>
      </c>
    </row>
    <row r="84" spans="1:9" x14ac:dyDescent="0.3">
      <c r="A84" s="2">
        <v>44</v>
      </c>
      <c r="B84" s="2">
        <v>0.61799999999999999</v>
      </c>
      <c r="C84" s="2">
        <v>158.46</v>
      </c>
      <c r="D84" s="2">
        <v>27.7</v>
      </c>
      <c r="F84" s="3">
        <f t="shared" si="6"/>
        <v>-1.3391666666666495</v>
      </c>
      <c r="G84" s="3">
        <f t="shared" si="7"/>
        <v>2.366666666666406E-3</v>
      </c>
      <c r="H84" s="3">
        <f t="shared" si="8"/>
        <v>-2.5416666666666572</v>
      </c>
      <c r="I84" s="3">
        <f t="shared" si="9"/>
        <v>-3.7408333333333346</v>
      </c>
    </row>
    <row r="85" spans="1:9" x14ac:dyDescent="0.3">
      <c r="A85" s="2">
        <v>44.1</v>
      </c>
      <c r="B85" s="2">
        <v>0.60599999999999998</v>
      </c>
      <c r="C85" s="2">
        <v>158.85</v>
      </c>
      <c r="D85" s="2">
        <v>27.8</v>
      </c>
      <c r="F85" s="3">
        <f t="shared" si="6"/>
        <v>-1.2391666666666481</v>
      </c>
      <c r="G85" s="3">
        <f t="shared" si="7"/>
        <v>-9.6333333333336046E-3</v>
      </c>
      <c r="H85" s="3">
        <f t="shared" si="8"/>
        <v>-2.1516666666666708</v>
      </c>
      <c r="I85" s="3">
        <f t="shared" si="9"/>
        <v>-3.6408333333333331</v>
      </c>
    </row>
    <row r="86" spans="1:9" x14ac:dyDescent="0.3">
      <c r="A86" s="2">
        <v>44.1</v>
      </c>
      <c r="B86" s="2">
        <v>0.60899999999999999</v>
      </c>
      <c r="C86" s="2">
        <v>158.69</v>
      </c>
      <c r="D86" s="2">
        <v>27.2</v>
      </c>
      <c r="F86" s="3">
        <f t="shared" si="6"/>
        <v>-1.2391666666666481</v>
      </c>
      <c r="G86" s="3">
        <f t="shared" si="7"/>
        <v>-6.633333333333602E-3</v>
      </c>
      <c r="H86" s="3">
        <f t="shared" si="8"/>
        <v>-2.3116666666666674</v>
      </c>
      <c r="I86" s="3">
        <f t="shared" si="9"/>
        <v>-4.2408333333333346</v>
      </c>
    </row>
    <row r="87" spans="1:9" x14ac:dyDescent="0.3">
      <c r="A87" s="2">
        <v>44.4</v>
      </c>
      <c r="B87" s="2">
        <v>0.61199999999999999</v>
      </c>
      <c r="C87" s="2">
        <v>159.24</v>
      </c>
      <c r="D87" s="2">
        <v>27.5</v>
      </c>
      <c r="F87" s="3">
        <f t="shared" si="6"/>
        <v>-0.93916666666665094</v>
      </c>
      <c r="G87" s="3">
        <f t="shared" si="7"/>
        <v>-3.6333333333335993E-3</v>
      </c>
      <c r="H87" s="3">
        <f t="shared" si="8"/>
        <v>-1.7616666666666561</v>
      </c>
      <c r="I87" s="3">
        <f t="shared" si="9"/>
        <v>-3.9408333333333339</v>
      </c>
    </row>
    <row r="88" spans="1:9" x14ac:dyDescent="0.3">
      <c r="A88" s="2">
        <v>44.5</v>
      </c>
      <c r="B88" s="2">
        <v>0.60699999999999998</v>
      </c>
      <c r="C88" s="2">
        <v>159.07</v>
      </c>
      <c r="D88" s="2">
        <v>27.6</v>
      </c>
      <c r="F88" s="3">
        <f t="shared" si="6"/>
        <v>-0.83916666666664952</v>
      </c>
      <c r="G88" s="3">
        <f t="shared" si="7"/>
        <v>-8.6333333333336038E-3</v>
      </c>
      <c r="H88" s="3">
        <f t="shared" si="8"/>
        <v>-1.931666666666672</v>
      </c>
      <c r="I88" s="3">
        <f t="shared" si="9"/>
        <v>-3.8408333333333324</v>
      </c>
    </row>
    <row r="89" spans="1:9" x14ac:dyDescent="0.3">
      <c r="A89" s="2">
        <v>44.8</v>
      </c>
      <c r="B89" s="2">
        <v>0.59599999999999997</v>
      </c>
      <c r="C89" s="2">
        <v>158.96</v>
      </c>
      <c r="D89" s="2">
        <v>27.9</v>
      </c>
      <c r="F89" s="3">
        <f t="shared" si="6"/>
        <v>-0.53916666666665236</v>
      </c>
      <c r="G89" s="3">
        <f t="shared" si="7"/>
        <v>-1.9633333333333614E-2</v>
      </c>
      <c r="H89" s="3">
        <f t="shared" si="8"/>
        <v>-2.0416666666666572</v>
      </c>
      <c r="I89" s="3">
        <f t="shared" si="9"/>
        <v>-3.5408333333333353</v>
      </c>
    </row>
    <row r="90" spans="1:9" x14ac:dyDescent="0.3">
      <c r="A90" s="2">
        <v>36.200000000000003</v>
      </c>
      <c r="B90" s="2">
        <v>0.56299999999999994</v>
      </c>
      <c r="C90" s="2">
        <v>160.72</v>
      </c>
      <c r="D90" s="2">
        <v>47.3</v>
      </c>
      <c r="F90" s="3">
        <f t="shared" si="6"/>
        <v>-9.1391666666666467</v>
      </c>
      <c r="G90" s="3">
        <f t="shared" si="7"/>
        <v>-5.2633333333333643E-2</v>
      </c>
      <c r="H90" s="3">
        <f t="shared" si="8"/>
        <v>-0.28166666666666629</v>
      </c>
      <c r="I90" s="3">
        <f t="shared" si="9"/>
        <v>15.859166666666663</v>
      </c>
    </row>
    <row r="91" spans="1:9" x14ac:dyDescent="0.3">
      <c r="A91" s="2">
        <v>35.5</v>
      </c>
      <c r="B91" s="2">
        <v>0.56100000000000005</v>
      </c>
      <c r="C91" s="2">
        <v>160.97</v>
      </c>
      <c r="D91" s="2">
        <v>46.5</v>
      </c>
      <c r="F91" s="3">
        <f t="shared" si="6"/>
        <v>-9.8391666666666495</v>
      </c>
      <c r="G91" s="3">
        <f t="shared" si="7"/>
        <v>-5.4633333333333534E-2</v>
      </c>
      <c r="H91" s="3">
        <f t="shared" si="8"/>
        <v>-3.1666666666666288E-2</v>
      </c>
      <c r="I91" s="3">
        <f t="shared" si="9"/>
        <v>15.059166666666666</v>
      </c>
    </row>
    <row r="92" spans="1:9" x14ac:dyDescent="0.3">
      <c r="A92" s="2">
        <v>35.4</v>
      </c>
      <c r="B92" s="2">
        <v>0.56599999999999995</v>
      </c>
      <c r="C92" s="2">
        <v>161</v>
      </c>
      <c r="D92" s="2">
        <v>46.6</v>
      </c>
      <c r="F92" s="3">
        <f t="shared" si="6"/>
        <v>-9.9391666666666509</v>
      </c>
      <c r="G92" s="3">
        <f t="shared" si="7"/>
        <v>-4.963333333333364E-2</v>
      </c>
      <c r="H92" s="3">
        <f t="shared" si="8"/>
        <v>-1.6666666666651508E-3</v>
      </c>
      <c r="I92" s="3">
        <f t="shared" si="9"/>
        <v>15.159166666666668</v>
      </c>
    </row>
    <row r="93" spans="1:9" x14ac:dyDescent="0.3">
      <c r="A93" s="2">
        <v>35.4</v>
      </c>
      <c r="B93" s="2">
        <v>0.56100000000000005</v>
      </c>
      <c r="C93" s="2">
        <v>161.04</v>
      </c>
      <c r="D93" s="2">
        <v>46.4</v>
      </c>
      <c r="F93" s="3">
        <f t="shared" si="6"/>
        <v>-9.9391666666666509</v>
      </c>
      <c r="G93" s="3">
        <f t="shared" si="7"/>
        <v>-5.4633333333333534E-2</v>
      </c>
      <c r="H93" s="3">
        <f t="shared" si="8"/>
        <v>3.8333333333326891E-2</v>
      </c>
      <c r="I93" s="3">
        <f t="shared" si="9"/>
        <v>14.959166666666665</v>
      </c>
    </row>
    <row r="94" spans="1:9" x14ac:dyDescent="0.3">
      <c r="A94" s="2">
        <v>35.5</v>
      </c>
      <c r="B94" s="2">
        <v>0.56200000000000006</v>
      </c>
      <c r="C94" s="2">
        <v>161.01</v>
      </c>
      <c r="D94" s="2">
        <v>46.7</v>
      </c>
      <c r="F94" s="3">
        <f t="shared" si="6"/>
        <v>-9.8391666666666495</v>
      </c>
      <c r="G94" s="3">
        <f t="shared" si="7"/>
        <v>-5.3633333333333533E-2</v>
      </c>
      <c r="H94" s="3">
        <f t="shared" si="8"/>
        <v>8.3333333333257542E-3</v>
      </c>
      <c r="I94" s="3">
        <f t="shared" si="9"/>
        <v>15.259166666666669</v>
      </c>
    </row>
    <row r="95" spans="1:9" x14ac:dyDescent="0.3">
      <c r="A95" s="2">
        <v>35.5</v>
      </c>
      <c r="B95" s="2">
        <v>0.56399999999999995</v>
      </c>
      <c r="C95" s="2">
        <v>161.03</v>
      </c>
      <c r="D95" s="2">
        <v>46.7</v>
      </c>
      <c r="F95" s="3">
        <f t="shared" si="6"/>
        <v>-9.8391666666666495</v>
      </c>
      <c r="G95" s="3">
        <f t="shared" si="7"/>
        <v>-5.1633333333333642E-2</v>
      </c>
      <c r="H95" s="3">
        <f t="shared" si="8"/>
        <v>2.8333333333335986E-2</v>
      </c>
      <c r="I95" s="3">
        <f t="shared" si="9"/>
        <v>15.259166666666669</v>
      </c>
    </row>
    <row r="96" spans="1:9" x14ac:dyDescent="0.3">
      <c r="A96" s="2">
        <v>35.5</v>
      </c>
      <c r="B96" s="2">
        <v>0.56100000000000005</v>
      </c>
      <c r="C96" s="2">
        <v>161.03</v>
      </c>
      <c r="D96" s="2">
        <v>46.5</v>
      </c>
      <c r="F96" s="3">
        <f t="shared" si="6"/>
        <v>-9.8391666666666495</v>
      </c>
      <c r="G96" s="3">
        <f t="shared" si="7"/>
        <v>-5.4633333333333534E-2</v>
      </c>
      <c r="H96" s="3">
        <f t="shared" si="8"/>
        <v>2.8333333333335986E-2</v>
      </c>
      <c r="I96" s="3">
        <f t="shared" si="9"/>
        <v>15.059166666666666</v>
      </c>
    </row>
    <row r="97" spans="1:9" x14ac:dyDescent="0.3">
      <c r="A97" s="2">
        <v>35.5</v>
      </c>
      <c r="B97" s="2">
        <v>0.55500000000000005</v>
      </c>
      <c r="C97" s="2">
        <v>161.04</v>
      </c>
      <c r="D97" s="2">
        <v>46.7</v>
      </c>
      <c r="F97" s="3">
        <f t="shared" si="6"/>
        <v>-9.8391666666666495</v>
      </c>
      <c r="G97" s="3">
        <f t="shared" si="7"/>
        <v>-6.0633333333333539E-2</v>
      </c>
      <c r="H97" s="3">
        <f t="shared" si="8"/>
        <v>3.8333333333326891E-2</v>
      </c>
      <c r="I97" s="3">
        <f t="shared" si="9"/>
        <v>15.259166666666669</v>
      </c>
    </row>
    <row r="98" spans="1:9" x14ac:dyDescent="0.3">
      <c r="A98" s="2">
        <v>35.4</v>
      </c>
      <c r="B98" s="2">
        <v>0.55200000000000005</v>
      </c>
      <c r="C98" s="2">
        <v>161.04</v>
      </c>
      <c r="D98" s="2">
        <v>46.9</v>
      </c>
      <c r="F98" s="3">
        <f t="shared" si="6"/>
        <v>-9.9391666666666509</v>
      </c>
      <c r="G98" s="3">
        <f t="shared" si="7"/>
        <v>-6.3633333333333542E-2</v>
      </c>
      <c r="H98" s="3">
        <f t="shared" si="8"/>
        <v>3.8333333333326891E-2</v>
      </c>
      <c r="I98" s="3">
        <f t="shared" si="9"/>
        <v>15.459166666666665</v>
      </c>
    </row>
    <row r="99" spans="1:9" x14ac:dyDescent="0.3">
      <c r="A99" s="2">
        <v>35.5</v>
      </c>
      <c r="B99" s="2">
        <v>0.55700000000000005</v>
      </c>
      <c r="C99" s="2">
        <v>161.04</v>
      </c>
      <c r="D99" s="2">
        <v>47.2</v>
      </c>
      <c r="F99" s="3">
        <f t="shared" si="6"/>
        <v>-9.8391666666666495</v>
      </c>
      <c r="G99" s="3">
        <f t="shared" si="7"/>
        <v>-5.8633333333333537E-2</v>
      </c>
      <c r="H99" s="3">
        <f t="shared" si="8"/>
        <v>3.8333333333326891E-2</v>
      </c>
      <c r="I99" s="3">
        <f t="shared" si="9"/>
        <v>15.759166666666669</v>
      </c>
    </row>
    <row r="100" spans="1:9" x14ac:dyDescent="0.3">
      <c r="A100" s="2">
        <v>35.6</v>
      </c>
      <c r="B100" s="2">
        <v>0.55200000000000005</v>
      </c>
      <c r="C100" s="2">
        <v>161.16</v>
      </c>
      <c r="D100" s="2">
        <v>47.4</v>
      </c>
      <c r="F100" s="3">
        <f t="shared" si="6"/>
        <v>-9.7391666666666481</v>
      </c>
      <c r="G100" s="3">
        <f t="shared" si="7"/>
        <v>-6.3633333333333542E-2</v>
      </c>
      <c r="H100" s="3">
        <f t="shared" si="8"/>
        <v>0.15833333333333144</v>
      </c>
      <c r="I100" s="3">
        <f t="shared" si="9"/>
        <v>15.959166666666665</v>
      </c>
    </row>
    <row r="101" spans="1:9" x14ac:dyDescent="0.3">
      <c r="A101" s="2">
        <v>35.700000000000003</v>
      </c>
      <c r="B101" s="2">
        <v>0.55100000000000005</v>
      </c>
      <c r="C101" s="2">
        <v>160.56</v>
      </c>
      <c r="D101" s="2">
        <v>47.2</v>
      </c>
      <c r="F101" s="3">
        <f t="shared" si="6"/>
        <v>-9.6391666666666467</v>
      </c>
      <c r="G101" s="3">
        <f t="shared" si="7"/>
        <v>-6.4633333333333542E-2</v>
      </c>
      <c r="H101" s="3">
        <f t="shared" si="8"/>
        <v>-0.44166666666666288</v>
      </c>
      <c r="I101" s="3">
        <f t="shared" si="9"/>
        <v>15.759166666666669</v>
      </c>
    </row>
    <row r="102" spans="1:9" x14ac:dyDescent="0.3">
      <c r="A102" s="2">
        <v>35.700000000000003</v>
      </c>
      <c r="B102" s="2">
        <v>0.53900000000000003</v>
      </c>
      <c r="C102" s="2">
        <v>160.49</v>
      </c>
      <c r="D102" s="2">
        <v>47.8</v>
      </c>
      <c r="F102" s="3">
        <f t="shared" si="6"/>
        <v>-9.6391666666666467</v>
      </c>
      <c r="G102" s="3">
        <f t="shared" si="7"/>
        <v>-7.6633333333333553E-2</v>
      </c>
      <c r="H102" s="3">
        <f t="shared" si="8"/>
        <v>-0.51166666666665606</v>
      </c>
      <c r="I102" s="3">
        <f t="shared" si="9"/>
        <v>16.359166666666663</v>
      </c>
    </row>
    <row r="103" spans="1:9" x14ac:dyDescent="0.3">
      <c r="A103" s="2">
        <v>35.9</v>
      </c>
      <c r="B103" s="2">
        <v>0.53900000000000003</v>
      </c>
      <c r="C103" s="2">
        <v>160.91</v>
      </c>
      <c r="D103" s="2">
        <v>47.3</v>
      </c>
      <c r="F103" s="3">
        <f t="shared" si="6"/>
        <v>-9.4391666666666509</v>
      </c>
      <c r="G103" s="3">
        <f t="shared" si="7"/>
        <v>-7.6633333333333553E-2</v>
      </c>
      <c r="H103" s="3">
        <f t="shared" si="8"/>
        <v>-9.1666666666668561E-2</v>
      </c>
      <c r="I103" s="3">
        <f t="shared" si="9"/>
        <v>15.859166666666663</v>
      </c>
    </row>
    <row r="104" spans="1:9" x14ac:dyDescent="0.3">
      <c r="A104" s="2">
        <v>35.9</v>
      </c>
      <c r="B104" s="2">
        <v>0.54200000000000004</v>
      </c>
      <c r="C104" s="2">
        <v>160.69</v>
      </c>
      <c r="D104" s="2">
        <v>47.4</v>
      </c>
      <c r="F104" s="3">
        <f t="shared" si="6"/>
        <v>-9.4391666666666509</v>
      </c>
      <c r="G104" s="3">
        <f t="shared" si="7"/>
        <v>-7.363333333333355E-2</v>
      </c>
      <c r="H104" s="3">
        <f t="shared" si="8"/>
        <v>-0.31166666666666742</v>
      </c>
      <c r="I104" s="3">
        <f t="shared" si="9"/>
        <v>15.959166666666665</v>
      </c>
    </row>
    <row r="105" spans="1:9" x14ac:dyDescent="0.3">
      <c r="A105" s="2">
        <v>36.1</v>
      </c>
      <c r="B105" s="2">
        <v>0.55100000000000005</v>
      </c>
      <c r="C105" s="2">
        <v>161.27000000000001</v>
      </c>
      <c r="D105" s="2">
        <v>47.5</v>
      </c>
      <c r="F105" s="3">
        <f t="shared" si="6"/>
        <v>-9.2391666666666481</v>
      </c>
      <c r="G105" s="3">
        <f t="shared" si="7"/>
        <v>-6.4633333333333542E-2</v>
      </c>
      <c r="H105" s="3">
        <f t="shared" si="8"/>
        <v>0.26833333333334508</v>
      </c>
      <c r="I105" s="3">
        <f t="shared" si="9"/>
        <v>16.059166666666666</v>
      </c>
    </row>
    <row r="106" spans="1:9" x14ac:dyDescent="0.3">
      <c r="A106" s="2">
        <v>36.200000000000003</v>
      </c>
      <c r="B106" s="2">
        <v>0.54800000000000004</v>
      </c>
      <c r="C106" s="2">
        <v>161.08000000000001</v>
      </c>
      <c r="D106" s="2">
        <v>47.5</v>
      </c>
      <c r="F106" s="3">
        <f t="shared" si="6"/>
        <v>-9.1391666666666467</v>
      </c>
      <c r="G106" s="3">
        <f t="shared" si="7"/>
        <v>-6.7633333333333545E-2</v>
      </c>
      <c r="H106" s="3">
        <f t="shared" si="8"/>
        <v>7.8333333333347355E-2</v>
      </c>
      <c r="I106" s="3">
        <f t="shared" si="9"/>
        <v>16.059166666666666</v>
      </c>
    </row>
    <row r="107" spans="1:9" x14ac:dyDescent="0.3">
      <c r="A107" s="2">
        <v>36.299999999999997</v>
      </c>
      <c r="B107" s="2">
        <v>0.54900000000000004</v>
      </c>
      <c r="C107" s="2">
        <v>161.01</v>
      </c>
      <c r="D107" s="2">
        <v>47.3</v>
      </c>
      <c r="F107" s="3">
        <f t="shared" si="6"/>
        <v>-9.0391666666666524</v>
      </c>
      <c r="G107" s="3">
        <f t="shared" si="7"/>
        <v>-6.6633333333333544E-2</v>
      </c>
      <c r="H107" s="3">
        <f t="shared" si="8"/>
        <v>8.3333333333257542E-3</v>
      </c>
      <c r="I107" s="3">
        <f t="shared" si="9"/>
        <v>15.859166666666663</v>
      </c>
    </row>
    <row r="108" spans="1:9" x14ac:dyDescent="0.3">
      <c r="A108" s="2">
        <v>36.200000000000003</v>
      </c>
      <c r="B108" s="2">
        <v>0.54700000000000004</v>
      </c>
      <c r="C108" s="2">
        <v>160.44999999999999</v>
      </c>
      <c r="D108" s="2">
        <v>47</v>
      </c>
      <c r="F108" s="3">
        <f t="shared" si="6"/>
        <v>-9.1391666666666467</v>
      </c>
      <c r="G108" s="3">
        <f t="shared" si="7"/>
        <v>-6.8633333333333546E-2</v>
      </c>
      <c r="H108" s="3">
        <f t="shared" si="8"/>
        <v>-0.55166666666667652</v>
      </c>
      <c r="I108" s="3">
        <f t="shared" si="9"/>
        <v>15.559166666666666</v>
      </c>
    </row>
    <row r="109" spans="1:9" x14ac:dyDescent="0.3">
      <c r="A109" s="2">
        <v>36.4</v>
      </c>
      <c r="B109" s="2">
        <v>0.54600000000000004</v>
      </c>
      <c r="C109" s="2">
        <v>160.22</v>
      </c>
      <c r="D109" s="2">
        <v>46.7</v>
      </c>
      <c r="F109" s="3">
        <f t="shared" si="6"/>
        <v>-8.9391666666666509</v>
      </c>
      <c r="G109" s="3">
        <f t="shared" si="7"/>
        <v>-6.9633333333333547E-2</v>
      </c>
      <c r="H109" s="3">
        <f t="shared" si="8"/>
        <v>-0.78166666666666629</v>
      </c>
      <c r="I109" s="3">
        <f t="shared" si="9"/>
        <v>15.259166666666669</v>
      </c>
    </row>
    <row r="110" spans="1:9" x14ac:dyDescent="0.3">
      <c r="A110" s="2">
        <v>36.4</v>
      </c>
      <c r="B110" s="2">
        <v>0.55200000000000005</v>
      </c>
      <c r="C110" s="2">
        <v>160.69999999999999</v>
      </c>
      <c r="D110" s="2">
        <v>46.3</v>
      </c>
      <c r="F110" s="3">
        <f t="shared" si="6"/>
        <v>-8.9391666666666509</v>
      </c>
      <c r="G110" s="3">
        <f t="shared" si="7"/>
        <v>-6.3633333333333542E-2</v>
      </c>
      <c r="H110" s="3">
        <f t="shared" si="8"/>
        <v>-0.30166666666667652</v>
      </c>
      <c r="I110" s="3">
        <f t="shared" si="9"/>
        <v>14.859166666666663</v>
      </c>
    </row>
    <row r="111" spans="1:9" x14ac:dyDescent="0.3">
      <c r="A111" s="2">
        <v>36.200000000000003</v>
      </c>
      <c r="B111" s="2">
        <v>0.55000000000000004</v>
      </c>
      <c r="C111" s="2">
        <v>160.61000000000001</v>
      </c>
      <c r="D111" s="2">
        <v>46.7</v>
      </c>
      <c r="F111" s="3">
        <f t="shared" si="6"/>
        <v>-9.1391666666666467</v>
      </c>
      <c r="G111" s="3">
        <f t="shared" si="7"/>
        <v>-6.5633333333333543E-2</v>
      </c>
      <c r="H111" s="3">
        <f t="shared" si="8"/>
        <v>-0.39166666666665151</v>
      </c>
      <c r="I111" s="3">
        <f t="shared" si="9"/>
        <v>15.259166666666669</v>
      </c>
    </row>
    <row r="112" spans="1:9" x14ac:dyDescent="0.3">
      <c r="A112" s="2">
        <v>36.1</v>
      </c>
      <c r="B112" s="2">
        <v>0.53700000000000003</v>
      </c>
      <c r="C112" s="2">
        <v>160.96</v>
      </c>
      <c r="D112" s="2">
        <v>46.8</v>
      </c>
      <c r="F112" s="3">
        <f t="shared" si="6"/>
        <v>-9.2391666666666481</v>
      </c>
      <c r="G112" s="3">
        <f t="shared" si="7"/>
        <v>-7.8633333333333555E-2</v>
      </c>
      <c r="H112" s="3">
        <f t="shared" si="8"/>
        <v>-4.1666666666657193E-2</v>
      </c>
      <c r="I112" s="3">
        <f t="shared" si="9"/>
        <v>15.359166666666663</v>
      </c>
    </row>
    <row r="113" spans="1:9" x14ac:dyDescent="0.3">
      <c r="A113" s="2">
        <v>36.200000000000003</v>
      </c>
      <c r="B113" s="2">
        <v>0.53600000000000003</v>
      </c>
      <c r="C113" s="2">
        <v>161.11000000000001</v>
      </c>
      <c r="D113" s="2">
        <v>47.2</v>
      </c>
      <c r="F113" s="3">
        <f t="shared" si="6"/>
        <v>-9.1391666666666467</v>
      </c>
      <c r="G113" s="3">
        <f t="shared" si="7"/>
        <v>-7.9633333333333556E-2</v>
      </c>
      <c r="H113" s="3">
        <f t="shared" si="8"/>
        <v>0.10833333333334849</v>
      </c>
      <c r="I113" s="3">
        <f t="shared" si="9"/>
        <v>15.759166666666669</v>
      </c>
    </row>
    <row r="114" spans="1:9" x14ac:dyDescent="0.3">
      <c r="A114" s="2">
        <v>36.299999999999997</v>
      </c>
      <c r="B114" s="2">
        <v>0.53</v>
      </c>
      <c r="C114" s="2">
        <v>160.91999999999999</v>
      </c>
      <c r="D114" s="2">
        <v>47.4</v>
      </c>
      <c r="F114" s="3">
        <f t="shared" si="6"/>
        <v>-9.0391666666666524</v>
      </c>
      <c r="G114" s="3">
        <f t="shared" si="7"/>
        <v>-8.5633333333333561E-2</v>
      </c>
      <c r="H114" s="3">
        <f t="shared" si="8"/>
        <v>-8.1666666666677656E-2</v>
      </c>
      <c r="I114" s="3">
        <f t="shared" si="9"/>
        <v>15.959166666666665</v>
      </c>
    </row>
    <row r="115" spans="1:9" x14ac:dyDescent="0.3">
      <c r="A115" s="2">
        <v>36.200000000000003</v>
      </c>
      <c r="B115" s="2">
        <v>0.54</v>
      </c>
      <c r="C115" s="2">
        <v>160.47999999999999</v>
      </c>
      <c r="D115" s="2">
        <v>47</v>
      </c>
      <c r="F115" s="3">
        <f t="shared" si="6"/>
        <v>-9.1391666666666467</v>
      </c>
      <c r="G115" s="3">
        <f t="shared" si="7"/>
        <v>-7.5633333333333552E-2</v>
      </c>
      <c r="H115" s="3">
        <f t="shared" si="8"/>
        <v>-0.52166666666667538</v>
      </c>
      <c r="I115" s="3">
        <f t="shared" si="9"/>
        <v>15.559166666666666</v>
      </c>
    </row>
    <row r="116" spans="1:9" x14ac:dyDescent="0.3">
      <c r="A116" s="2">
        <v>36.299999999999997</v>
      </c>
      <c r="B116" s="2">
        <v>0.53700000000000003</v>
      </c>
      <c r="C116" s="2">
        <v>160.31</v>
      </c>
      <c r="D116" s="2">
        <v>46.8</v>
      </c>
      <c r="F116" s="3">
        <f t="shared" si="6"/>
        <v>-9.0391666666666524</v>
      </c>
      <c r="G116" s="3">
        <f t="shared" si="7"/>
        <v>-7.8633333333333555E-2</v>
      </c>
      <c r="H116" s="3">
        <f t="shared" si="8"/>
        <v>-0.69166666666666288</v>
      </c>
      <c r="I116" s="3">
        <f t="shared" si="9"/>
        <v>15.359166666666663</v>
      </c>
    </row>
    <row r="117" spans="1:9" x14ac:dyDescent="0.3">
      <c r="A117" s="2">
        <v>36.299999999999997</v>
      </c>
      <c r="B117" s="2">
        <v>0.54100000000000004</v>
      </c>
      <c r="C117" s="2">
        <v>160.47</v>
      </c>
      <c r="D117" s="2">
        <v>46.5</v>
      </c>
      <c r="F117" s="3">
        <f t="shared" si="6"/>
        <v>-9.0391666666666524</v>
      </c>
      <c r="G117" s="3">
        <f t="shared" si="7"/>
        <v>-7.4633333333333551E-2</v>
      </c>
      <c r="H117" s="3">
        <f t="shared" si="8"/>
        <v>-0.53166666666666629</v>
      </c>
      <c r="I117" s="3">
        <f t="shared" si="9"/>
        <v>15.059166666666666</v>
      </c>
    </row>
    <row r="118" spans="1:9" x14ac:dyDescent="0.3">
      <c r="A118" s="2">
        <v>36.299999999999997</v>
      </c>
      <c r="B118" s="2">
        <v>0.54</v>
      </c>
      <c r="C118" s="2">
        <v>160.63999999999999</v>
      </c>
      <c r="D118" s="2">
        <v>46.9</v>
      </c>
      <c r="F118" s="3">
        <f t="shared" si="6"/>
        <v>-9.0391666666666524</v>
      </c>
      <c r="G118" s="3">
        <f t="shared" si="7"/>
        <v>-7.5633333333333552E-2</v>
      </c>
      <c r="H118" s="3">
        <f t="shared" si="8"/>
        <v>-0.36166666666667879</v>
      </c>
      <c r="I118" s="3">
        <f t="shared" si="9"/>
        <v>15.459166666666665</v>
      </c>
    </row>
    <row r="119" spans="1:9" x14ac:dyDescent="0.3">
      <c r="A119" s="2">
        <v>36.200000000000003</v>
      </c>
      <c r="B119" s="2">
        <v>0.54900000000000004</v>
      </c>
      <c r="C119" s="2">
        <v>160.58000000000001</v>
      </c>
      <c r="D119" s="2">
        <v>46.8</v>
      </c>
      <c r="F119" s="3">
        <f t="shared" si="6"/>
        <v>-9.1391666666666467</v>
      </c>
      <c r="G119" s="3">
        <f t="shared" si="7"/>
        <v>-6.6633333333333544E-2</v>
      </c>
      <c r="H119" s="3">
        <f t="shared" si="8"/>
        <v>-0.42166666666665265</v>
      </c>
      <c r="I119" s="3">
        <f t="shared" si="9"/>
        <v>15.359166666666663</v>
      </c>
    </row>
    <row r="120" spans="1:9" x14ac:dyDescent="0.3">
      <c r="A120" s="2">
        <v>36.200000000000003</v>
      </c>
      <c r="B120" s="2">
        <v>0.54400000000000004</v>
      </c>
      <c r="C120" s="2">
        <v>161.1</v>
      </c>
      <c r="D120" s="2">
        <v>47.1</v>
      </c>
      <c r="F120" s="3">
        <f t="shared" si="6"/>
        <v>-9.1391666666666467</v>
      </c>
      <c r="G120" s="3">
        <f t="shared" si="7"/>
        <v>-7.1633333333333549E-2</v>
      </c>
      <c r="H120" s="3">
        <f t="shared" si="8"/>
        <v>9.8333333333329165E-2</v>
      </c>
      <c r="I120" s="3">
        <f t="shared" si="9"/>
        <v>15.659166666666668</v>
      </c>
    </row>
    <row r="121" spans="1:9" x14ac:dyDescent="0.3">
      <c r="A121" s="2">
        <v>36.1</v>
      </c>
      <c r="B121" s="2">
        <v>0.54600000000000004</v>
      </c>
      <c r="C121" s="2">
        <v>161</v>
      </c>
      <c r="D121" s="2">
        <v>47.1</v>
      </c>
      <c r="F121" s="3">
        <f t="shared" si="6"/>
        <v>-9.2391666666666481</v>
      </c>
      <c r="G121" s="3">
        <f t="shared" si="7"/>
        <v>-6.9633333333333547E-2</v>
      </c>
      <c r="H121" s="3">
        <f t="shared" si="8"/>
        <v>-1.6666666666651508E-3</v>
      </c>
      <c r="I121" s="3">
        <f t="shared" si="9"/>
        <v>15.659166666666668</v>
      </c>
    </row>
    <row r="122" spans="1:9" x14ac:dyDescent="0.3">
      <c r="A122" s="2">
        <v>36</v>
      </c>
      <c r="B122" s="2">
        <v>0.54500000000000004</v>
      </c>
      <c r="C122" s="2">
        <v>160.61000000000001</v>
      </c>
      <c r="D122" s="2">
        <v>47.5</v>
      </c>
      <c r="F122" s="3">
        <f t="shared" si="6"/>
        <v>-9.3391666666666495</v>
      </c>
      <c r="G122" s="3">
        <f t="shared" si="7"/>
        <v>-7.0633333333333548E-2</v>
      </c>
      <c r="H122" s="3">
        <f t="shared" si="8"/>
        <v>-0.39166666666665151</v>
      </c>
      <c r="I122" s="3">
        <f t="shared" si="9"/>
        <v>16.059166666666666</v>
      </c>
    </row>
    <row r="123" spans="1:9" x14ac:dyDescent="0.3">
      <c r="A123" s="2">
        <v>35.9</v>
      </c>
      <c r="B123" s="2">
        <v>0.55000000000000004</v>
      </c>
      <c r="C123" s="2">
        <v>160.53</v>
      </c>
      <c r="D123" s="2">
        <v>46.9</v>
      </c>
      <c r="F123" s="3">
        <f t="shared" si="6"/>
        <v>-9.4391666666666509</v>
      </c>
      <c r="G123" s="3">
        <f t="shared" si="7"/>
        <v>-6.5633333333333543E-2</v>
      </c>
      <c r="H123" s="3">
        <f t="shared" si="8"/>
        <v>-0.47166666666666401</v>
      </c>
      <c r="I123" s="3">
        <f t="shared" si="9"/>
        <v>15.459166666666665</v>
      </c>
    </row>
    <row r="124" spans="1:9" x14ac:dyDescent="0.3">
      <c r="A124" s="2">
        <v>35.799999999999997</v>
      </c>
      <c r="B124" s="2">
        <v>0.54100000000000004</v>
      </c>
      <c r="C124" s="2">
        <v>160.41</v>
      </c>
      <c r="D124" s="2">
        <v>47</v>
      </c>
      <c r="F124" s="3">
        <f t="shared" si="6"/>
        <v>-9.5391666666666524</v>
      </c>
      <c r="G124" s="3">
        <f t="shared" si="7"/>
        <v>-7.4633333333333551E-2</v>
      </c>
      <c r="H124" s="3">
        <f t="shared" si="8"/>
        <v>-0.59166666666666856</v>
      </c>
      <c r="I124" s="3">
        <f t="shared" si="9"/>
        <v>15.559166666666666</v>
      </c>
    </row>
    <row r="125" spans="1:9" x14ac:dyDescent="0.3">
      <c r="A125" s="2">
        <v>35.700000000000003</v>
      </c>
      <c r="B125" s="2">
        <v>0.54600000000000004</v>
      </c>
      <c r="C125" s="2">
        <v>160.81</v>
      </c>
      <c r="D125" s="2">
        <v>47</v>
      </c>
      <c r="F125" s="3">
        <f t="shared" si="6"/>
        <v>-9.6391666666666467</v>
      </c>
      <c r="G125" s="3">
        <f t="shared" si="7"/>
        <v>-6.9633333333333547E-2</v>
      </c>
      <c r="H125" s="3">
        <f t="shared" si="8"/>
        <v>-0.19166666666666288</v>
      </c>
      <c r="I125" s="3">
        <f t="shared" si="9"/>
        <v>15.559166666666666</v>
      </c>
    </row>
    <row r="126" spans="1:9" x14ac:dyDescent="0.3">
      <c r="A126" s="2">
        <v>35.6</v>
      </c>
      <c r="B126" s="2">
        <v>0.54400000000000004</v>
      </c>
      <c r="C126" s="2">
        <v>160.68</v>
      </c>
      <c r="D126" s="2">
        <v>46.8</v>
      </c>
      <c r="F126" s="3">
        <f t="shared" si="6"/>
        <v>-9.7391666666666481</v>
      </c>
      <c r="G126" s="3">
        <f t="shared" si="7"/>
        <v>-7.1633333333333549E-2</v>
      </c>
      <c r="H126" s="3">
        <f t="shared" si="8"/>
        <v>-0.32166666666665833</v>
      </c>
      <c r="I126" s="3">
        <f t="shared" si="9"/>
        <v>15.359166666666663</v>
      </c>
    </row>
    <row r="127" spans="1:9" x14ac:dyDescent="0.3">
      <c r="A127" s="2">
        <v>35.5</v>
      </c>
      <c r="B127" s="2">
        <v>0.55800000000000005</v>
      </c>
      <c r="C127" s="2">
        <v>161.32</v>
      </c>
      <c r="D127" s="2">
        <v>46.6</v>
      </c>
      <c r="F127" s="3">
        <f t="shared" si="6"/>
        <v>-9.8391666666666495</v>
      </c>
      <c r="G127" s="3">
        <f t="shared" si="7"/>
        <v>-5.7633333333333536E-2</v>
      </c>
      <c r="H127" s="3">
        <f t="shared" si="8"/>
        <v>0.31833333333332803</v>
      </c>
      <c r="I127" s="3">
        <f t="shared" si="9"/>
        <v>15.159166666666668</v>
      </c>
    </row>
    <row r="128" spans="1:9" x14ac:dyDescent="0.3">
      <c r="A128" s="2">
        <v>35.4</v>
      </c>
      <c r="B128" s="2">
        <v>0.54700000000000004</v>
      </c>
      <c r="C128" s="2">
        <v>161.26</v>
      </c>
      <c r="D128" s="2">
        <v>46.6</v>
      </c>
      <c r="F128" s="3">
        <f t="shared" si="6"/>
        <v>-9.9391666666666509</v>
      </c>
      <c r="G128" s="3">
        <f t="shared" si="7"/>
        <v>-6.8633333333333546E-2</v>
      </c>
      <c r="H128" s="3">
        <f t="shared" si="8"/>
        <v>0.25833333333332575</v>
      </c>
      <c r="I128" s="3">
        <f t="shared" si="9"/>
        <v>15.159166666666668</v>
      </c>
    </row>
    <row r="129" spans="1:9" x14ac:dyDescent="0.3">
      <c r="A129" s="2">
        <v>35.299999999999997</v>
      </c>
      <c r="B129" s="2">
        <v>0.54700000000000004</v>
      </c>
      <c r="C129" s="2">
        <v>161.22</v>
      </c>
      <c r="D129" s="2">
        <v>46.6</v>
      </c>
      <c r="F129" s="3">
        <f t="shared" si="6"/>
        <v>-10.039166666666652</v>
      </c>
      <c r="G129" s="3">
        <f t="shared" si="7"/>
        <v>-6.8633333333333546E-2</v>
      </c>
      <c r="H129" s="3">
        <f t="shared" si="8"/>
        <v>0.21833333333333371</v>
      </c>
      <c r="I129" s="3">
        <f t="shared" si="9"/>
        <v>15.159166666666668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9B01F1-1C46-44DB-BE95-4AE24570E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14_hydraulic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2026-10-15T08:28:03Z</dcterms:created>
  <dcterms:modified xsi:type="dcterms:W3CDTF">2026-10-15T08:50:39Z</dcterms:modified>
</cp:coreProperties>
</file>