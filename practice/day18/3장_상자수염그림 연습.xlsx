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 Equipment Failure Prediction\practice\day18\"/>
    </mc:Choice>
  </mc:AlternateContent>
  <xr:revisionPtr revIDLastSave="0" documentId="13_ncr:1_{4D169C9E-FF15-4C6C-B40A-D58B0C49CDF7}" xr6:coauthVersionLast="47" xr6:coauthVersionMax="47" xr10:uidLastSave="{00000000-0000-0000-0000-000000000000}"/>
  <bookViews>
    <workbookView xWindow="-2340" yWindow="585" windowWidth="29100" windowHeight="15405" activeTab="1" xr2:uid="{7F9E0F7B-8C92-455A-A0C0-722BF71FB380}"/>
  </bookViews>
  <sheets>
    <sheet name="Sheet1" sheetId="1" r:id="rId1"/>
    <sheet name="Sheet2" sheetId="2" r:id="rId2"/>
    <sheet name="Sheet7" sheetId="8" r:id="rId3"/>
    <sheet name="14_hydraulic" sheetId="3" r:id="rId4"/>
  </sheets>
  <definedNames>
    <definedName name="_xlchart.v1.0" hidden="1">Sheet1!$B$1</definedName>
    <definedName name="_xlchart.v1.1" hidden="1">Sheet1!$B$2:$B$31</definedName>
    <definedName name="_xlchart.v1.2" hidden="1">Sheet2!$A$2:$A$121</definedName>
    <definedName name="_xlchart.v1.3" hidden="1">Sheet2!$B$1</definedName>
    <definedName name="_xlchart.v1.4" hidden="1">Sheet2!$B$2:$B$121</definedName>
    <definedName name="ExternalData_1" localSheetId="3" hidden="1">'14_hydraulic'!$A$1:$H$121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8" i="1" l="1"/>
  <c r="E25" i="1"/>
  <c r="E28" i="1"/>
  <c r="E27" i="1"/>
  <c r="E29" i="1" l="1"/>
  <c r="E26" i="1"/>
  <c r="E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4F4FFE-589B-453D-9009-3E36D71A8354}" keepAlive="1" name="쿼리 - 14_hydraulic" description="통합 문서의 '14_hydraulic' 쿼리에 대한 연결입니다." type="5" refreshedVersion="8" background="1" saveData="1">
    <dbPr connection="Provider=Microsoft.Mashup.OleDb.1;Data Source=$Workbook$;Location=14_hydraulic;Extended Properties=&quot;&quot;" command="SELECT * FROM [14_hydraulic]"/>
  </connection>
</connections>
</file>

<file path=xl/sharedStrings.xml><?xml version="1.0" encoding="utf-8"?>
<sst xmlns="http://schemas.openxmlformats.org/spreadsheetml/2006/main" count="569" uniqueCount="77">
  <si>
    <t>번호</t>
    <phoneticPr fontId="1" type="noConversion"/>
  </si>
  <si>
    <t>키</t>
    <phoneticPr fontId="1" type="noConversion"/>
  </si>
  <si>
    <t>최소값</t>
    <phoneticPr fontId="1" type="noConversion"/>
  </si>
  <si>
    <t>최대값</t>
    <phoneticPr fontId="1" type="noConversion"/>
  </si>
  <si>
    <t>3사분위수</t>
    <phoneticPr fontId="1" type="noConversion"/>
  </si>
  <si>
    <t>1사분위수</t>
    <phoneticPr fontId="1" type="noConversion"/>
  </si>
  <si>
    <t>평균</t>
    <phoneticPr fontId="1" type="noConversion"/>
  </si>
  <si>
    <t>중위수</t>
    <phoneticPr fontId="1" type="noConversion"/>
  </si>
  <si>
    <t xml:space="preserve">3사분위수 - 1사분위수 </t>
    <phoneticPr fontId="1" type="noConversion"/>
  </si>
  <si>
    <t>iqr</t>
    <phoneticPr fontId="1" type="noConversion"/>
  </si>
  <si>
    <t>인터쿼틸</t>
    <phoneticPr fontId="1" type="noConversion"/>
  </si>
  <si>
    <t>4분위수범위</t>
    <phoneticPr fontId="1" type="noConversion"/>
  </si>
  <si>
    <t>냉각기상태</t>
  </si>
  <si>
    <t>운전부하</t>
  </si>
  <si>
    <t>밸브상태</t>
  </si>
  <si>
    <t>온도</t>
  </si>
  <si>
    <t>진동</t>
  </si>
  <si>
    <t>압력</t>
  </si>
  <si>
    <t>냉각효율</t>
  </si>
  <si>
    <t>result</t>
  </si>
  <si>
    <t>고장</t>
  </si>
  <si>
    <t>고부하</t>
  </si>
  <si>
    <t>정상</t>
  </si>
  <si>
    <t>저부하</t>
  </si>
  <si>
    <t>지연</t>
  </si>
  <si>
    <t>경미</t>
  </si>
  <si>
    <t>심각</t>
  </si>
  <si>
    <t>저하</t>
  </si>
  <si>
    <t>열 레이블</t>
  </si>
  <si>
    <t>총합계</t>
  </si>
  <si>
    <t>행 레이블</t>
  </si>
  <si>
    <t>평균 : 온도</t>
  </si>
  <si>
    <t>몸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</si>
  <si>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</si>
  <si>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</si>
  <si>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</si>
  <si>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</si>
  <si>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</si>
  <si>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이름</t>
    <phoneticPr fontId="1" type="noConversion"/>
  </si>
  <si>
    <t>가설</t>
    <phoneticPr fontId="1" type="noConversion"/>
  </si>
  <si>
    <t>가설검정</t>
    <phoneticPr fontId="1" type="noConversion"/>
  </si>
  <si>
    <t>스케터플롯</t>
    <phoneticPr fontId="1" type="noConversion"/>
  </si>
  <si>
    <t>키가 크면 몸무게가 많이나간다</t>
    <phoneticPr fontId="1" type="noConversion"/>
  </si>
  <si>
    <t>H0</t>
    <phoneticPr fontId="1" type="noConversion"/>
  </si>
  <si>
    <t>귀무가설</t>
    <phoneticPr fontId="1" type="noConversion"/>
  </si>
  <si>
    <t>대립가설</t>
    <phoneticPr fontId="1" type="noConversion"/>
  </si>
  <si>
    <t>H1</t>
    <phoneticPr fontId="1" type="noConversion"/>
  </si>
  <si>
    <t>연구가설</t>
    <phoneticPr fontId="1" type="noConversion"/>
  </si>
  <si>
    <t>y = ax + b</t>
    <phoneticPr fontId="1" type="noConversion"/>
  </si>
  <si>
    <t>a=기울기</t>
    <phoneticPr fontId="1" type="noConversion"/>
  </si>
  <si>
    <t>b는 y의 절편</t>
    <phoneticPr fontId="1" type="noConversion"/>
  </si>
  <si>
    <t>예측값</t>
    <phoneticPr fontId="1" type="noConversion"/>
  </si>
  <si>
    <t>키x</t>
    <phoneticPr fontId="1" type="noConversion"/>
  </si>
  <si>
    <t>몸y</t>
    <phoneticPr fontId="1" type="noConversion"/>
  </si>
  <si>
    <t>a*170+b</t>
    <phoneticPr fontId="1" type="noConversion"/>
  </si>
  <si>
    <t>a*155+b</t>
    <phoneticPr fontId="1" type="noConversion"/>
  </si>
  <si>
    <t>a*150+b</t>
    <phoneticPr fontId="1" type="noConversion"/>
  </si>
  <si>
    <t>a*175+b</t>
    <phoneticPr fontId="1" type="noConversion"/>
  </si>
  <si>
    <t>a*165+b</t>
    <phoneticPr fontId="1" type="noConversion"/>
  </si>
  <si>
    <t>a*170+b-65</t>
    <phoneticPr fontId="1" type="noConversion"/>
  </si>
  <si>
    <t>오차</t>
    <phoneticPr fontId="1" type="noConversion"/>
  </si>
  <si>
    <t>오차제곱</t>
    <phoneticPr fontId="1" type="noConversion"/>
  </si>
  <si>
    <t>(a*170+b-65)^2</t>
    <phoneticPr fontId="1" type="noConversion"/>
  </si>
  <si>
    <t>평균제곱오차</t>
    <phoneticPr fontId="1" type="noConversion"/>
  </si>
  <si>
    <t>meanSquaredError</t>
    <phoneticPr fontId="1" type="noConversion"/>
  </si>
  <si>
    <t>MSE</t>
    <phoneticPr fontId="1" type="noConversion"/>
  </si>
  <si>
    <t>0에 가까울수록 좋다</t>
    <phoneticPr fontId="1" type="noConversion"/>
  </si>
  <si>
    <t>평균제곱근오차</t>
    <phoneticPr fontId="1" type="noConversion"/>
  </si>
  <si>
    <t>RootmeanSquaredError</t>
    <phoneticPr fontId="1" type="noConversion"/>
  </si>
  <si>
    <t>a*155+b-60</t>
    <phoneticPr fontId="1" type="noConversion"/>
  </si>
  <si>
    <t>a*150+b-45</t>
    <phoneticPr fontId="1" type="noConversion"/>
  </si>
  <si>
    <t>a*175+b-70</t>
    <phoneticPr fontId="1" type="noConversion"/>
  </si>
  <si>
    <t>a*165+b-55</t>
    <phoneticPr fontId="1" type="noConversion"/>
  </si>
  <si>
    <t xml:space="preserve">최소제곱법 </t>
    <phoneticPr fontId="1" type="noConversion"/>
  </si>
  <si>
    <t>RMSE</t>
    <phoneticPr fontId="1" type="noConversion"/>
  </si>
  <si>
    <t>오차의 총합이 가장 적어진는 a와 b를 구하면됨</t>
    <phoneticPr fontId="1" type="noConversion"/>
  </si>
  <si>
    <t>평균 제곱근 : 오차가 예측이 잘되엇는지 추론할 경우 평가하는 대표적인 공식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</si>
</sst>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pivotButton="1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표준" xfId="0" builtinId="0"/>
  </cellStyles>
  <dxfs count="20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Sheet2!$D$11:$D$15</c:f>
              <c:numCache>
                <c:formatCode>General</c:formatCode>
                <c:ptCount val="5"/>
                <c:pt idx="0">
                  <c:v>170</c:v>
                </c:pt>
                <c:pt idx="1">
                  <c:v>155</c:v>
                </c:pt>
                <c:pt idx="2">
                  <c:v>150</c:v>
                </c:pt>
                <c:pt idx="3">
                  <c:v>175</c:v>
                </c:pt>
                <c:pt idx="4">
                  <c:v>165</c:v>
                </c:pt>
              </c:numCache>
            </c:numRef>
          </c:xVal>
          <c:yVal>
            <c:numRef>
              <c:f>Sheet2!$E$11:$E$15</c:f>
              <c:numCache>
                <c:formatCode>General</c:formatCode>
                <c:ptCount val="5"/>
                <c:pt idx="0">
                  <c:v>65</c:v>
                </c:pt>
                <c:pt idx="1">
                  <c:v>60</c:v>
                </c:pt>
                <c:pt idx="2">
                  <c:v>45</c:v>
                </c:pt>
                <c:pt idx="3">
                  <c:v>70</c:v>
                </c:pt>
                <c:pt idx="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C-490A-B934-70F1913A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781839"/>
        <c:axId val="837707375"/>
      </c:scatterChart>
      <c:valAx>
        <c:axId val="21247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7707375"/>
        <c:crosses val="autoZero"/>
        <c:crossBetween val="midCat"/>
      </c:valAx>
      <c:valAx>
        <c:axId val="8377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47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4D7F-40CE-959D-942FBE8AEBAB}">
          <cx:tx>
            <cx:txData>
              <cx:f>_xlchart.v1.0</cx:f>
              <cx:v>키</cx:v>
            </cx:txData>
          </cx:tx>
          <cx:spPr>
            <a:noFill/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.25999999"/>
        <cx:tickLabels/>
      </cx:axis>
      <cx:axis id="1">
        <cx:valScaling max="185" min="14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ko-KR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9124-4E44-BF26-A9FD641EDE13}">
          <cx:tx>
            <cx:txData>
              <cx:f>_xlchart.v1.3</cx:f>
              <cx:v/>
            </cx:txData>
          </cx:tx>
          <cx:dataId val="0"/>
          <cx:layoutPr>
            <cx:visibility meanLine="0" meanMarker="0" nonoutliers="1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534866</xdr:colOff>
      <xdr:row>7</xdr:row>
      <xdr:rowOff>152399</xdr:rowOff>
    </xdr:from>
    <xdr:to>
      <xdr:col>9</xdr:col>
      <xdr:colOff>381000</xdr:colOff>
      <xdr:row>23</xdr:row>
      <xdr:rowOff>153864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C93928B0-5101-84AD-B788-FF7C2E1E8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266" y="1695449"/>
              <a:ext cx="1970209" cy="3354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29309</xdr:colOff>
      <xdr:row>7</xdr:row>
      <xdr:rowOff>131884</xdr:rowOff>
    </xdr:from>
    <xdr:to>
      <xdr:col>14</xdr:col>
      <xdr:colOff>223000</xdr:colOff>
      <xdr:row>24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A6D090-F271-2EEE-628E-256149F7E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6424" y="1692519"/>
          <a:ext cx="2948614" cy="3575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528637</xdr:colOff>
      <xdr:row>97</xdr:row>
      <xdr:rowOff>195262</xdr:rowOff>
    </xdr:from>
    <xdr:to>
      <xdr:col>10</xdr:col>
      <xdr:colOff>300037</xdr:colOff>
      <xdr:row>111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5DD076AB-39CD-B4BA-C797-DBA588F90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5587" y="205216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5</xdr:col>
      <xdr:colOff>457200</xdr:colOff>
      <xdr:row>12</xdr:row>
      <xdr:rowOff>71437</xdr:rowOff>
    </xdr:from>
    <xdr:to>
      <xdr:col>12</xdr:col>
      <xdr:colOff>695325</xdr:colOff>
      <xdr:row>25</xdr:row>
      <xdr:rowOff>90487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A3B8C27-EC2D-722A-2D74-21903AFE8087}"/>
            </a:ext>
          </a:extLst>
        </xdr:cNvPr>
        <xdr:cNvGrpSpPr/>
      </xdr:nvGrpSpPr>
      <xdr:grpSpPr>
        <a:xfrm>
          <a:off x="4219575" y="2586037"/>
          <a:ext cx="5505450" cy="2743200"/>
          <a:chOff x="4219575" y="2586037"/>
          <a:chExt cx="5505450" cy="2743200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B1C20CEF-78F1-721D-A469-2371302A3E2D}"/>
              </a:ext>
            </a:extLst>
          </xdr:cNvPr>
          <xdr:cNvGraphicFramePr/>
        </xdr:nvGraphicFramePr>
        <xdr:xfrm>
          <a:off x="4757737" y="258603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8D6A84F7-44EF-9AF3-988B-09CB154995E4}"/>
              </a:ext>
            </a:extLst>
          </xdr:cNvPr>
          <xdr:cNvCxnSpPr/>
        </xdr:nvCxnSpPr>
        <xdr:spPr>
          <a:xfrm flipV="1">
            <a:off x="4219575" y="2609850"/>
            <a:ext cx="5505450" cy="21336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15</xdr:col>
      <xdr:colOff>590550</xdr:colOff>
      <xdr:row>27</xdr:row>
      <xdr:rowOff>9525</xdr:rowOff>
    </xdr:from>
    <xdr:to>
      <xdr:col>19</xdr:col>
      <xdr:colOff>553074</xdr:colOff>
      <xdr:row>36</xdr:row>
      <xdr:rowOff>143157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FCB5BA5-4500-79F6-081A-297FC1E6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5667375"/>
          <a:ext cx="4467849" cy="20195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wangWoo Kim" refreshedDate="46311.615209143521" createdVersion="8" refreshedVersion="8" minRefreshableVersion="3" recordCount="120" xr:uid="{DCC0BFB3-6DB5-429D-A4C1-233FA9CC6CA5}">
  <cacheSource type="worksheet">
    <worksheetSource name="_14_hydraulic"/>
  </cacheSource>
  <cacheFields count="8">
    <cacheField name="냉각기상태" numFmtId="0">
      <sharedItems count="3">
        <s v="고장"/>
        <s v="저하"/>
        <s v="정상"/>
      </sharedItems>
    </cacheField>
    <cacheField name="운전부하" numFmtId="0">
      <sharedItems count="2">
        <s v="고부하"/>
        <s v="저부하"/>
      </sharedItems>
    </cacheField>
    <cacheField name="밸브상태" numFmtId="0">
      <sharedItems count="4">
        <s v="정상"/>
        <s v="지연"/>
        <s v="경미"/>
        <s v="심각"/>
      </sharedItems>
    </cacheField>
    <cacheField name="온도" numFmtId="0">
      <sharedItems containsSemiMixedTypes="0" containsString="0" containsNumber="1" minValue="35.299999999999997" maxValue="57.8"/>
    </cacheField>
    <cacheField name="진동" numFmtId="0">
      <sharedItems containsSemiMixedTypes="0" containsString="0" containsNumber="1" minValue="0.53" maxValue="0.77900000000000003" count="80">
        <n v="0.57699999999999996"/>
        <n v="0.60399999999999998"/>
        <n v="0.64"/>
        <n v="0.63500000000000001"/>
        <n v="0.64800000000000002"/>
        <n v="0.66600000000000004"/>
        <n v="0.65600000000000003"/>
        <n v="0.66"/>
        <n v="0.66800000000000004"/>
        <n v="0.66700000000000004"/>
        <n v="0.66200000000000003"/>
        <n v="0.66100000000000003"/>
        <n v="0.65700000000000003"/>
        <n v="0.65900000000000003"/>
        <n v="0.67600000000000005"/>
        <n v="0.749"/>
        <n v="0.77900000000000003"/>
        <n v="0.73899999999999999"/>
        <n v="0.73299999999999998"/>
        <n v="0.72499999999999998"/>
        <n v="0.65400000000000003"/>
        <n v="0.74099999999999999"/>
        <n v="0.75900000000000001"/>
        <n v="0.71899999999999997"/>
        <n v="0.73199999999999998"/>
        <n v="0.77400000000000002"/>
        <n v="0.72799999999999998"/>
        <n v="0.70599999999999996"/>
        <n v="0.69699999999999995"/>
        <n v="0.64600000000000002"/>
        <n v="0.59199999999999997"/>
        <n v="0.59499999999999997"/>
        <n v="0.59599999999999997"/>
        <n v="0.59699999999999998"/>
        <n v="0.59399999999999997"/>
        <n v="0.59299999999999997"/>
        <n v="0.60099999999999998"/>
        <n v="0.61399999999999999"/>
        <n v="0.61"/>
        <n v="0.622"/>
        <n v="0.61699999999999999"/>
        <n v="0.627"/>
        <n v="0.629"/>
        <n v="0.624"/>
        <n v="0.61099999999999999"/>
        <n v="0.61599999999999999"/>
        <n v="0.61299999999999999"/>
        <n v="0.60899999999999999"/>
        <n v="0.61199999999999999"/>
        <n v="0.60299999999999998"/>
        <n v="0.623"/>
        <n v="0.60199999999999998"/>
        <n v="0.60799999999999998"/>
        <n v="0.61799999999999999"/>
        <n v="0.60599999999999998"/>
        <n v="0.60699999999999998"/>
        <n v="0.56299999999999994"/>
        <n v="0.56100000000000005"/>
        <n v="0.56599999999999995"/>
        <n v="0.56200000000000006"/>
        <n v="0.56399999999999995"/>
        <n v="0.55500000000000005"/>
        <n v="0.55200000000000005"/>
        <n v="0.55700000000000005"/>
        <n v="0.55100000000000005"/>
        <n v="0.53900000000000003"/>
        <n v="0.54200000000000004"/>
        <n v="0.54800000000000004"/>
        <n v="0.54900000000000004"/>
        <n v="0.54700000000000004"/>
        <n v="0.54600000000000004"/>
        <n v="0.55000000000000004"/>
        <n v="0.53700000000000003"/>
        <n v="0.53600000000000003"/>
        <n v="0.53"/>
        <n v="0.54"/>
        <n v="0.54100000000000004"/>
        <n v="0.54400000000000004"/>
        <n v="0.54500000000000004"/>
        <n v="0.55800000000000005"/>
      </sharedItems>
    </cacheField>
    <cacheField name="압력" numFmtId="0">
      <sharedItems containsSemiMixedTypes="0" containsString="0" containsNumber="1" minValue="156.08000000000001" maxValue="180.92"/>
    </cacheField>
    <cacheField name="냉각효율" numFmtId="0">
      <sharedItems containsSemiMixedTypes="0" containsString="0" containsNumber="1" minValue="17.600000000000001" maxValue="47.8"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35.6"/>
    <x v="0"/>
    <n v="160.66999999999999"/>
    <n v="39.6"/>
    <s v="정상"/>
  </r>
  <r>
    <x v="0"/>
    <x v="1"/>
    <x v="0"/>
    <n v="47.5"/>
    <x v="1"/>
    <n v="158.65"/>
    <n v="17.600000000000001"/>
    <s v="정상"/>
  </r>
  <r>
    <x v="0"/>
    <x v="1"/>
    <x v="0"/>
    <n v="50.7"/>
    <x v="2"/>
    <n v="157.76"/>
    <n v="18.7"/>
    <s v="정상"/>
  </r>
  <r>
    <x v="0"/>
    <x v="1"/>
    <x v="0"/>
    <n v="51.7"/>
    <x v="3"/>
    <n v="157.54"/>
    <n v="19.600000000000001"/>
    <s v="정상"/>
  </r>
  <r>
    <x v="0"/>
    <x v="1"/>
    <x v="0"/>
    <n v="52.4"/>
    <x v="3"/>
    <n v="157.36000000000001"/>
    <n v="21.1"/>
    <s v="정상"/>
  </r>
  <r>
    <x v="0"/>
    <x v="1"/>
    <x v="0"/>
    <n v="53.1"/>
    <x v="4"/>
    <n v="157.19999999999999"/>
    <n v="20.9"/>
    <s v="정상"/>
  </r>
  <r>
    <x v="0"/>
    <x v="1"/>
    <x v="0"/>
    <n v="53.5"/>
    <x v="5"/>
    <n v="157.07"/>
    <n v="20.100000000000001"/>
    <s v="정상"/>
  </r>
  <r>
    <x v="0"/>
    <x v="1"/>
    <x v="0"/>
    <n v="53.7"/>
    <x v="6"/>
    <n v="157.09"/>
    <n v="19.600000000000001"/>
    <s v="정상"/>
  </r>
  <r>
    <x v="0"/>
    <x v="1"/>
    <x v="0"/>
    <n v="53.9"/>
    <x v="7"/>
    <n v="156.94999999999999"/>
    <n v="19.600000000000001"/>
    <s v="정상"/>
  </r>
  <r>
    <x v="0"/>
    <x v="1"/>
    <x v="0"/>
    <n v="53.9"/>
    <x v="8"/>
    <n v="157.07"/>
    <n v="19.600000000000001"/>
    <s v="정상"/>
  </r>
  <r>
    <x v="0"/>
    <x v="1"/>
    <x v="0"/>
    <n v="54.1"/>
    <x v="9"/>
    <n v="157"/>
    <n v="20"/>
    <s v="정상"/>
  </r>
  <r>
    <x v="0"/>
    <x v="1"/>
    <x v="0"/>
    <n v="54.3"/>
    <x v="10"/>
    <n v="157.01"/>
    <n v="19.899999999999999"/>
    <s v="정상"/>
  </r>
  <r>
    <x v="0"/>
    <x v="1"/>
    <x v="1"/>
    <n v="54.2"/>
    <x v="11"/>
    <n v="156.19999999999999"/>
    <n v="19.899999999999999"/>
    <s v="고장"/>
  </r>
  <r>
    <x v="0"/>
    <x v="1"/>
    <x v="2"/>
    <n v="54.2"/>
    <x v="4"/>
    <n v="156.13999999999999"/>
    <n v="19.899999999999999"/>
    <s v="고장"/>
  </r>
  <r>
    <x v="0"/>
    <x v="1"/>
    <x v="3"/>
    <n v="54.5"/>
    <x v="12"/>
    <n v="156.54"/>
    <n v="20.100000000000001"/>
    <s v="고장"/>
  </r>
  <r>
    <x v="0"/>
    <x v="1"/>
    <x v="2"/>
    <n v="54.4"/>
    <x v="13"/>
    <n v="156.49"/>
    <n v="20"/>
    <s v="고장"/>
  </r>
  <r>
    <x v="0"/>
    <x v="1"/>
    <x v="3"/>
    <n v="54.6"/>
    <x v="5"/>
    <n v="157.07"/>
    <n v="20.2"/>
    <s v="정상"/>
  </r>
  <r>
    <x v="0"/>
    <x v="1"/>
    <x v="2"/>
    <n v="55"/>
    <x v="6"/>
    <n v="156.79"/>
    <n v="20.6"/>
    <s v="정상"/>
  </r>
  <r>
    <x v="0"/>
    <x v="1"/>
    <x v="0"/>
    <n v="54.5"/>
    <x v="14"/>
    <n v="156.82"/>
    <n v="20.399999999999999"/>
    <s v="정상"/>
  </r>
  <r>
    <x v="0"/>
    <x v="0"/>
    <x v="3"/>
    <n v="54.4"/>
    <x v="15"/>
    <n v="173.28"/>
    <n v="20.2"/>
    <s v="고장"/>
  </r>
  <r>
    <x v="0"/>
    <x v="0"/>
    <x v="2"/>
    <n v="56"/>
    <x v="16"/>
    <n v="180.41"/>
    <n v="20.8"/>
    <s v="고장"/>
  </r>
  <r>
    <x v="0"/>
    <x v="0"/>
    <x v="3"/>
    <n v="56.6"/>
    <x v="17"/>
    <n v="180.7"/>
    <n v="19.7"/>
    <s v="고장"/>
  </r>
  <r>
    <x v="0"/>
    <x v="0"/>
    <x v="2"/>
    <n v="56.8"/>
    <x v="18"/>
    <n v="172.86"/>
    <n v="19"/>
    <s v="고장"/>
  </r>
  <r>
    <x v="0"/>
    <x v="1"/>
    <x v="0"/>
    <n v="57.1"/>
    <x v="19"/>
    <n v="156.08000000000001"/>
    <n v="18.8"/>
    <s v="정상"/>
  </r>
  <r>
    <x v="0"/>
    <x v="1"/>
    <x v="1"/>
    <n v="56.3"/>
    <x v="20"/>
    <n v="156.4"/>
    <n v="20.3"/>
    <s v="정상"/>
  </r>
  <r>
    <x v="0"/>
    <x v="0"/>
    <x v="0"/>
    <n v="56"/>
    <x v="18"/>
    <n v="180.92"/>
    <n v="20.6"/>
    <s v="정상"/>
  </r>
  <r>
    <x v="0"/>
    <x v="0"/>
    <x v="3"/>
    <n v="56"/>
    <x v="21"/>
    <n v="173.03"/>
    <n v="20"/>
    <s v="고장"/>
  </r>
  <r>
    <x v="0"/>
    <x v="0"/>
    <x v="2"/>
    <n v="57.1"/>
    <x v="22"/>
    <n v="173.06"/>
    <n v="19.3"/>
    <s v="고장"/>
  </r>
  <r>
    <x v="0"/>
    <x v="0"/>
    <x v="3"/>
    <n v="57.6"/>
    <x v="23"/>
    <n v="172.94"/>
    <n v="18.899999999999999"/>
    <s v="고장"/>
  </r>
  <r>
    <x v="0"/>
    <x v="0"/>
    <x v="1"/>
    <n v="57.5"/>
    <x v="24"/>
    <n v="172.87"/>
    <n v="19.2"/>
    <s v="고장"/>
  </r>
  <r>
    <x v="0"/>
    <x v="0"/>
    <x v="0"/>
    <n v="57.8"/>
    <x v="19"/>
    <n v="172.72"/>
    <n v="19.2"/>
    <s v="고장"/>
  </r>
  <r>
    <x v="0"/>
    <x v="0"/>
    <x v="1"/>
    <n v="57.2"/>
    <x v="25"/>
    <n v="173.32"/>
    <n v="19.100000000000001"/>
    <s v="정상"/>
  </r>
  <r>
    <x v="0"/>
    <x v="1"/>
    <x v="0"/>
    <n v="57"/>
    <x v="21"/>
    <n v="156.6"/>
    <n v="19"/>
    <s v="정상"/>
  </r>
  <r>
    <x v="0"/>
    <x v="0"/>
    <x v="3"/>
    <n v="56.3"/>
    <x v="26"/>
    <n v="173.06"/>
    <n v="19.600000000000001"/>
    <s v="고장"/>
  </r>
  <r>
    <x v="0"/>
    <x v="0"/>
    <x v="1"/>
    <n v="57.2"/>
    <x v="27"/>
    <n v="166.57"/>
    <n v="18.8"/>
    <s v="고장"/>
  </r>
  <r>
    <x v="0"/>
    <x v="0"/>
    <x v="0"/>
    <n v="57.2"/>
    <x v="19"/>
    <n v="172.58"/>
    <n v="18.899999999999999"/>
    <s v="고장"/>
  </r>
  <r>
    <x v="0"/>
    <x v="0"/>
    <x v="1"/>
    <n v="57.2"/>
    <x v="28"/>
    <n v="166.75"/>
    <n v="18.8"/>
    <s v="고장"/>
  </r>
  <r>
    <x v="0"/>
    <x v="0"/>
    <x v="0"/>
    <n v="57.1"/>
    <x v="23"/>
    <n v="172.86"/>
    <n v="18.7"/>
    <s v="고장"/>
  </r>
  <r>
    <x v="0"/>
    <x v="1"/>
    <x v="1"/>
    <n v="56.6"/>
    <x v="7"/>
    <n v="156.31"/>
    <n v="18.600000000000001"/>
    <s v="정상"/>
  </r>
  <r>
    <x v="0"/>
    <x v="1"/>
    <x v="0"/>
    <n v="55.9"/>
    <x v="29"/>
    <n v="156.32"/>
    <n v="20.100000000000001"/>
    <s v="정상"/>
  </r>
  <r>
    <x v="1"/>
    <x v="1"/>
    <x v="0"/>
    <n v="51.2"/>
    <x v="30"/>
    <n v="157.09"/>
    <n v="27"/>
    <s v="정상"/>
  </r>
  <r>
    <x v="1"/>
    <x v="1"/>
    <x v="0"/>
    <n v="48.1"/>
    <x v="31"/>
    <n v="157.86000000000001"/>
    <n v="26.3"/>
    <s v="정상"/>
  </r>
  <r>
    <x v="1"/>
    <x v="1"/>
    <x v="0"/>
    <n v="47.4"/>
    <x v="32"/>
    <n v="158.09"/>
    <n v="26.3"/>
    <s v="정상"/>
  </r>
  <r>
    <x v="1"/>
    <x v="1"/>
    <x v="0"/>
    <n v="47.1"/>
    <x v="33"/>
    <n v="158.16"/>
    <n v="26.3"/>
    <s v="정상"/>
  </r>
  <r>
    <x v="1"/>
    <x v="1"/>
    <x v="0"/>
    <n v="46.9"/>
    <x v="34"/>
    <n v="158.24"/>
    <n v="26.2"/>
    <s v="정상"/>
  </r>
  <r>
    <x v="1"/>
    <x v="1"/>
    <x v="0"/>
    <n v="46.8"/>
    <x v="35"/>
    <n v="158.25"/>
    <n v="26.2"/>
    <s v="정상"/>
  </r>
  <r>
    <x v="1"/>
    <x v="1"/>
    <x v="0"/>
    <n v="46.7"/>
    <x v="1"/>
    <n v="158.30000000000001"/>
    <n v="26.4"/>
    <s v="정상"/>
  </r>
  <r>
    <x v="1"/>
    <x v="1"/>
    <x v="0"/>
    <n v="46.6"/>
    <x v="36"/>
    <n v="158.32"/>
    <n v="26.3"/>
    <s v="정상"/>
  </r>
  <r>
    <x v="1"/>
    <x v="1"/>
    <x v="0"/>
    <n v="46.5"/>
    <x v="37"/>
    <n v="158.30000000000001"/>
    <n v="26.5"/>
    <s v="정상"/>
  </r>
  <r>
    <x v="1"/>
    <x v="1"/>
    <x v="0"/>
    <n v="46.5"/>
    <x v="38"/>
    <n v="158.35"/>
    <n v="26.8"/>
    <s v="정상"/>
  </r>
  <r>
    <x v="1"/>
    <x v="1"/>
    <x v="0"/>
    <n v="46.4"/>
    <x v="39"/>
    <n v="158.38999999999999"/>
    <n v="26.5"/>
    <s v="정상"/>
  </r>
  <r>
    <x v="1"/>
    <x v="1"/>
    <x v="3"/>
    <n v="46.1"/>
    <x v="40"/>
    <n v="158.1"/>
    <n v="26.7"/>
    <s v="고장"/>
  </r>
  <r>
    <x v="1"/>
    <x v="1"/>
    <x v="2"/>
    <n v="46"/>
    <x v="41"/>
    <n v="157.91999999999999"/>
    <n v="26.9"/>
    <s v="고장"/>
  </r>
  <r>
    <x v="1"/>
    <x v="1"/>
    <x v="0"/>
    <n v="46"/>
    <x v="39"/>
    <n v="157.87"/>
    <n v="27.2"/>
    <s v="고장"/>
  </r>
  <r>
    <x v="1"/>
    <x v="1"/>
    <x v="1"/>
    <n v="45.9"/>
    <x v="42"/>
    <n v="158.30000000000001"/>
    <n v="27.4"/>
    <s v="고장"/>
  </r>
  <r>
    <x v="1"/>
    <x v="1"/>
    <x v="0"/>
    <n v="45.7"/>
    <x v="42"/>
    <n v="158.24"/>
    <n v="27.7"/>
    <s v="고장"/>
  </r>
  <r>
    <x v="1"/>
    <x v="1"/>
    <x v="1"/>
    <n v="45.7"/>
    <x v="43"/>
    <n v="158.78"/>
    <n v="28.2"/>
    <s v="정상"/>
  </r>
  <r>
    <x v="1"/>
    <x v="1"/>
    <x v="0"/>
    <n v="45.6"/>
    <x v="44"/>
    <n v="158.63999999999999"/>
    <n v="28.1"/>
    <s v="정상"/>
  </r>
  <r>
    <x v="1"/>
    <x v="1"/>
    <x v="0"/>
    <n v="45.4"/>
    <x v="1"/>
    <n v="158.65"/>
    <n v="27.8"/>
    <s v="정상"/>
  </r>
  <r>
    <x v="1"/>
    <x v="1"/>
    <x v="1"/>
    <n v="45"/>
    <x v="37"/>
    <n v="158.22"/>
    <n v="27.8"/>
    <s v="고장"/>
  </r>
  <r>
    <x v="1"/>
    <x v="1"/>
    <x v="0"/>
    <n v="44.8"/>
    <x v="37"/>
    <n v="158.12"/>
    <n v="27.7"/>
    <s v="고장"/>
  </r>
  <r>
    <x v="1"/>
    <x v="1"/>
    <x v="1"/>
    <n v="44.8"/>
    <x v="45"/>
    <n v="158.55000000000001"/>
    <n v="27.5"/>
    <s v="고장"/>
  </r>
  <r>
    <x v="1"/>
    <x v="1"/>
    <x v="0"/>
    <n v="44.6"/>
    <x v="46"/>
    <n v="158.47999999999999"/>
    <n v="27.8"/>
    <s v="고장"/>
  </r>
  <r>
    <x v="1"/>
    <x v="1"/>
    <x v="3"/>
    <n v="44.6"/>
    <x v="47"/>
    <n v="159.12"/>
    <n v="27.6"/>
    <s v="정상"/>
  </r>
  <r>
    <x v="1"/>
    <x v="1"/>
    <x v="2"/>
    <n v="44.6"/>
    <x v="48"/>
    <n v="158.96"/>
    <n v="27.6"/>
    <s v="정상"/>
  </r>
  <r>
    <x v="1"/>
    <x v="1"/>
    <x v="0"/>
    <n v="44.4"/>
    <x v="49"/>
    <n v="158.93"/>
    <n v="27.6"/>
    <s v="정상"/>
  </r>
  <r>
    <x v="1"/>
    <x v="0"/>
    <x v="1"/>
    <n v="44.1"/>
    <x v="50"/>
    <n v="158.44999999999999"/>
    <n v="27.4"/>
    <s v="고장"/>
  </r>
  <r>
    <x v="1"/>
    <x v="0"/>
    <x v="0"/>
    <n v="44.1"/>
    <x v="45"/>
    <n v="158.38"/>
    <n v="27.3"/>
    <s v="고장"/>
  </r>
  <r>
    <x v="1"/>
    <x v="1"/>
    <x v="3"/>
    <n v="44.1"/>
    <x v="40"/>
    <n v="158.85"/>
    <n v="27.9"/>
    <s v="고장"/>
  </r>
  <r>
    <x v="1"/>
    <x v="1"/>
    <x v="2"/>
    <n v="44.1"/>
    <x v="46"/>
    <n v="158.69"/>
    <n v="27.5"/>
    <s v="고장"/>
  </r>
  <r>
    <x v="1"/>
    <x v="1"/>
    <x v="3"/>
    <n v="44.3"/>
    <x v="48"/>
    <n v="159.22999999999999"/>
    <n v="27.3"/>
    <s v="정상"/>
  </r>
  <r>
    <x v="1"/>
    <x v="1"/>
    <x v="2"/>
    <n v="44.3"/>
    <x v="51"/>
    <n v="159.05000000000001"/>
    <n v="27.4"/>
    <s v="정상"/>
  </r>
  <r>
    <x v="1"/>
    <x v="1"/>
    <x v="0"/>
    <n v="44.3"/>
    <x v="1"/>
    <n v="158.99"/>
    <n v="27.5"/>
    <s v="정상"/>
  </r>
  <r>
    <x v="1"/>
    <x v="0"/>
    <x v="1"/>
    <n v="44"/>
    <x v="52"/>
    <n v="158.52000000000001"/>
    <n v="27.3"/>
    <s v="고장"/>
  </r>
  <r>
    <x v="1"/>
    <x v="1"/>
    <x v="2"/>
    <n v="44"/>
    <x v="53"/>
    <n v="158.46"/>
    <n v="27.7"/>
    <s v="고장"/>
  </r>
  <r>
    <x v="1"/>
    <x v="1"/>
    <x v="3"/>
    <n v="44.1"/>
    <x v="54"/>
    <n v="158.85"/>
    <n v="27.8"/>
    <s v="고장"/>
  </r>
  <r>
    <x v="1"/>
    <x v="1"/>
    <x v="2"/>
    <n v="44.1"/>
    <x v="47"/>
    <n v="158.69"/>
    <n v="27.2"/>
    <s v="고장"/>
  </r>
  <r>
    <x v="1"/>
    <x v="1"/>
    <x v="3"/>
    <n v="44.4"/>
    <x v="48"/>
    <n v="159.24"/>
    <n v="27.5"/>
    <s v="정상"/>
  </r>
  <r>
    <x v="1"/>
    <x v="1"/>
    <x v="2"/>
    <n v="44.5"/>
    <x v="55"/>
    <n v="159.07"/>
    <n v="27.6"/>
    <s v="정상"/>
  </r>
  <r>
    <x v="1"/>
    <x v="1"/>
    <x v="0"/>
    <n v="44.8"/>
    <x v="32"/>
    <n v="158.96"/>
    <n v="27.9"/>
    <s v="정상"/>
  </r>
  <r>
    <x v="2"/>
    <x v="0"/>
    <x v="0"/>
    <n v="36.200000000000003"/>
    <x v="56"/>
    <n v="160.72"/>
    <n v="47.3"/>
    <s v="정상"/>
  </r>
  <r>
    <x v="2"/>
    <x v="0"/>
    <x v="0"/>
    <n v="35.5"/>
    <x v="57"/>
    <n v="160.97"/>
    <n v="46.5"/>
    <s v="정상"/>
  </r>
  <r>
    <x v="2"/>
    <x v="0"/>
    <x v="0"/>
    <n v="35.4"/>
    <x v="58"/>
    <n v="161"/>
    <n v="46.6"/>
    <s v="정상"/>
  </r>
  <r>
    <x v="2"/>
    <x v="0"/>
    <x v="0"/>
    <n v="35.4"/>
    <x v="57"/>
    <n v="161.04"/>
    <n v="46.4"/>
    <s v="정상"/>
  </r>
  <r>
    <x v="2"/>
    <x v="0"/>
    <x v="0"/>
    <n v="35.5"/>
    <x v="59"/>
    <n v="161.01"/>
    <n v="46.7"/>
    <s v="정상"/>
  </r>
  <r>
    <x v="2"/>
    <x v="0"/>
    <x v="0"/>
    <n v="35.5"/>
    <x v="60"/>
    <n v="161.03"/>
    <n v="46.7"/>
    <s v="정상"/>
  </r>
  <r>
    <x v="2"/>
    <x v="0"/>
    <x v="0"/>
    <n v="35.5"/>
    <x v="57"/>
    <n v="161.03"/>
    <n v="46.5"/>
    <s v="정상"/>
  </r>
  <r>
    <x v="2"/>
    <x v="0"/>
    <x v="0"/>
    <n v="35.5"/>
    <x v="61"/>
    <n v="161.04"/>
    <n v="46.7"/>
    <s v="정상"/>
  </r>
  <r>
    <x v="2"/>
    <x v="0"/>
    <x v="0"/>
    <n v="35.4"/>
    <x v="62"/>
    <n v="161.04"/>
    <n v="46.9"/>
    <s v="정상"/>
  </r>
  <r>
    <x v="2"/>
    <x v="0"/>
    <x v="0"/>
    <n v="35.5"/>
    <x v="63"/>
    <n v="161.04"/>
    <n v="47.2"/>
    <s v="정상"/>
  </r>
  <r>
    <x v="2"/>
    <x v="0"/>
    <x v="0"/>
    <n v="35.6"/>
    <x v="62"/>
    <n v="161.16"/>
    <n v="47.4"/>
    <s v="정상"/>
  </r>
  <r>
    <x v="2"/>
    <x v="0"/>
    <x v="1"/>
    <n v="35.700000000000003"/>
    <x v="64"/>
    <n v="160.56"/>
    <n v="47.2"/>
    <s v="고장"/>
  </r>
  <r>
    <x v="2"/>
    <x v="0"/>
    <x v="2"/>
    <n v="35.700000000000003"/>
    <x v="65"/>
    <n v="160.49"/>
    <n v="47.8"/>
    <s v="고장"/>
  </r>
  <r>
    <x v="2"/>
    <x v="0"/>
    <x v="3"/>
    <n v="35.9"/>
    <x v="65"/>
    <n v="160.91"/>
    <n v="47.3"/>
    <s v="고장"/>
  </r>
  <r>
    <x v="2"/>
    <x v="0"/>
    <x v="2"/>
    <n v="35.9"/>
    <x v="66"/>
    <n v="160.69"/>
    <n v="47.4"/>
    <s v="고장"/>
  </r>
  <r>
    <x v="2"/>
    <x v="0"/>
    <x v="3"/>
    <n v="36.1"/>
    <x v="64"/>
    <n v="161.27000000000001"/>
    <n v="47.5"/>
    <s v="정상"/>
  </r>
  <r>
    <x v="2"/>
    <x v="0"/>
    <x v="2"/>
    <n v="36.200000000000003"/>
    <x v="67"/>
    <n v="161.08000000000001"/>
    <n v="47.5"/>
    <s v="정상"/>
  </r>
  <r>
    <x v="2"/>
    <x v="0"/>
    <x v="0"/>
    <n v="36.299999999999997"/>
    <x v="68"/>
    <n v="161.01"/>
    <n v="47.3"/>
    <s v="정상"/>
  </r>
  <r>
    <x v="2"/>
    <x v="0"/>
    <x v="3"/>
    <n v="36.200000000000003"/>
    <x v="69"/>
    <n v="160.44999999999999"/>
    <n v="47"/>
    <s v="고장"/>
  </r>
  <r>
    <x v="2"/>
    <x v="0"/>
    <x v="2"/>
    <n v="36.4"/>
    <x v="70"/>
    <n v="160.22"/>
    <n v="46.7"/>
    <s v="고장"/>
  </r>
  <r>
    <x v="2"/>
    <x v="0"/>
    <x v="3"/>
    <n v="36.4"/>
    <x v="62"/>
    <n v="160.69999999999999"/>
    <n v="46.3"/>
    <s v="고장"/>
  </r>
  <r>
    <x v="2"/>
    <x v="0"/>
    <x v="2"/>
    <n v="36.200000000000003"/>
    <x v="71"/>
    <n v="160.61000000000001"/>
    <n v="46.7"/>
    <s v="고장"/>
  </r>
  <r>
    <x v="2"/>
    <x v="0"/>
    <x v="0"/>
    <n v="36.1"/>
    <x v="72"/>
    <n v="160.96"/>
    <n v="46.8"/>
    <s v="정상"/>
  </r>
  <r>
    <x v="2"/>
    <x v="0"/>
    <x v="1"/>
    <n v="36.200000000000003"/>
    <x v="73"/>
    <n v="161.11000000000001"/>
    <n v="47.2"/>
    <s v="정상"/>
  </r>
  <r>
    <x v="2"/>
    <x v="0"/>
    <x v="0"/>
    <n v="36.299999999999997"/>
    <x v="74"/>
    <n v="160.91999999999999"/>
    <n v="47.4"/>
    <s v="정상"/>
  </r>
  <r>
    <x v="2"/>
    <x v="0"/>
    <x v="3"/>
    <n v="36.200000000000003"/>
    <x v="75"/>
    <n v="160.47999999999999"/>
    <n v="47"/>
    <s v="고장"/>
  </r>
  <r>
    <x v="2"/>
    <x v="0"/>
    <x v="2"/>
    <n v="36.299999999999997"/>
    <x v="72"/>
    <n v="160.31"/>
    <n v="46.8"/>
    <s v="고장"/>
  </r>
  <r>
    <x v="2"/>
    <x v="0"/>
    <x v="0"/>
    <n v="36.299999999999997"/>
    <x v="76"/>
    <n v="160.47"/>
    <n v="46.5"/>
    <s v="고장"/>
  </r>
  <r>
    <x v="2"/>
    <x v="0"/>
    <x v="1"/>
    <n v="36.299999999999997"/>
    <x v="75"/>
    <n v="160.63999999999999"/>
    <n v="46.9"/>
    <s v="고장"/>
  </r>
  <r>
    <x v="2"/>
    <x v="0"/>
    <x v="0"/>
    <n v="36.200000000000003"/>
    <x v="68"/>
    <n v="160.58000000000001"/>
    <n v="46.8"/>
    <s v="고장"/>
  </r>
  <r>
    <x v="2"/>
    <x v="0"/>
    <x v="1"/>
    <n v="36.200000000000003"/>
    <x v="77"/>
    <n v="161.1"/>
    <n v="47.1"/>
    <s v="정상"/>
  </r>
  <r>
    <x v="2"/>
    <x v="0"/>
    <x v="0"/>
    <n v="36.1"/>
    <x v="70"/>
    <n v="161"/>
    <n v="47.1"/>
    <s v="정상"/>
  </r>
  <r>
    <x v="2"/>
    <x v="0"/>
    <x v="3"/>
    <n v="36"/>
    <x v="78"/>
    <n v="160.61000000000001"/>
    <n v="47.5"/>
    <s v="고장"/>
  </r>
  <r>
    <x v="2"/>
    <x v="0"/>
    <x v="1"/>
    <n v="35.9"/>
    <x v="71"/>
    <n v="160.53"/>
    <n v="46.9"/>
    <s v="고장"/>
  </r>
  <r>
    <x v="2"/>
    <x v="0"/>
    <x v="0"/>
    <n v="35.799999999999997"/>
    <x v="76"/>
    <n v="160.41"/>
    <n v="47"/>
    <s v="고장"/>
  </r>
  <r>
    <x v="2"/>
    <x v="0"/>
    <x v="1"/>
    <n v="35.700000000000003"/>
    <x v="70"/>
    <n v="160.81"/>
    <n v="47"/>
    <s v="고장"/>
  </r>
  <r>
    <x v="2"/>
    <x v="0"/>
    <x v="0"/>
    <n v="35.6"/>
    <x v="77"/>
    <n v="160.68"/>
    <n v="46.8"/>
    <s v="고장"/>
  </r>
  <r>
    <x v="2"/>
    <x v="0"/>
    <x v="1"/>
    <n v="35.5"/>
    <x v="79"/>
    <n v="161.32"/>
    <n v="46.6"/>
    <s v="정상"/>
  </r>
  <r>
    <x v="2"/>
    <x v="0"/>
    <x v="2"/>
    <n v="35.4"/>
    <x v="69"/>
    <n v="161.26"/>
    <n v="46.6"/>
    <s v="정상"/>
  </r>
  <r>
    <x v="2"/>
    <x v="0"/>
    <x v="0"/>
    <n v="35.299999999999997"/>
    <x v="69"/>
    <n v="161.22"/>
    <n v="46.6"/>
    <s v="정상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073F4-F9B7-4941-A563-9EB4379A5927}" name="피벗 테이블7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9" firstHeaderRow="1" firstDataRow="2" firstDataCol="1"/>
  <pivotFields count="8">
    <pivotField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평균 : 온도" fld="3" subtotal="average" baseField="2" baseItem="0" numFmtId="176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68D01-97DE-4DED-94C5-2D243BF93F10}" autoFormatId="16" applyNumberFormats="0" applyBorderFormats="0" applyFontFormats="0" applyPatternFormats="0" applyAlignmentFormats="0" applyWidthHeightFormats="0">
  <queryTableRefresh nextId="9">
    <queryTableFields count="8">
      <queryTableField id="1" name="냉각기상태" tableColumnId="1"/>
      <queryTableField id="2" name="운전부하" tableColumnId="2"/>
      <queryTableField id="3" name="밸브상태" tableColumnId="3"/>
      <queryTableField id="4" name="온도" tableColumnId="4"/>
      <queryTableField id="5" name="진동" tableColumnId="5"/>
      <queryTableField id="6" name="압력" tableColumnId="6"/>
      <queryTableField id="7" name="냉각효율" tableColumnId="7"/>
      <queryTableField id="8" name="resul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35500-0BE4-4087-AD8F-B2145C2FC45A}" name="_14_hydraulic" displayName="_14_hydraulic" ref="A1:H121" tableType="queryTable" totalsRowShown="0" headerRowDxfId="9" dataDxfId="8">
  <tableColumns count="8">
    <tableColumn id="1" xr3:uid="{B695A476-B098-4A69-BADE-0BE617AE9509}" uniqueName="1" name="냉각기상태" queryTableFieldId="1" dataDxfId="7"/>
    <tableColumn id="2" xr3:uid="{D333678D-D52F-49C5-BEAD-D1A6D33BE29A}" uniqueName="2" name="운전부하" queryTableFieldId="2" dataDxfId="6"/>
    <tableColumn id="3" xr3:uid="{F9429881-E81A-49D8-A360-7D90073692D6}" uniqueName="3" name="밸브상태" queryTableFieldId="3" dataDxfId="5"/>
    <tableColumn id="4" xr3:uid="{6C223A72-461E-4DCB-BE9B-D22441AB66B2}" uniqueName="4" name="온도" queryTableFieldId="4" dataDxfId="4"/>
    <tableColumn id="5" xr3:uid="{77BC10C7-04D5-4742-9C7D-F5582F459B76}" uniqueName="5" name="진동" queryTableFieldId="5" dataDxfId="3"/>
    <tableColumn id="6" xr3:uid="{5C7FDA94-0E71-49BC-8EC6-8E83F38384D3}" uniqueName="6" name="압력" queryTableFieldId="6" dataDxfId="2"/>
    <tableColumn id="7" xr3:uid="{32EBC2C3-9414-436C-A8D3-970A2D737E16}" uniqueName="7" name="냉각효율" queryTableFieldId="7" dataDxfId="1"/>
    <tableColumn id="8" xr3:uid="{C184E40A-0370-47CA-91E6-D4356950B1E5}" uniqueName="8" name="resul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6623-DD8E-4100-BEA7-D02CD87A449E}">
  <dimension ref="A1:I31"/>
  <sheetViews>
    <sheetView topLeftCell="A6" zoomScale="130" zoomScaleNormal="130" workbookViewId="0">
      <selection activeCell="I26" sqref="I26"/>
    </sheetView>
  </sheetViews>
  <sheetFormatPr defaultRowHeight="16.5" x14ac:dyDescent="0.3"/>
  <cols>
    <col min="1" max="2" width="10.5" style="1" customWidth="1"/>
    <col min="5" max="5" width="9" style="1"/>
    <col min="7" max="7" width="9.875" bestFit="1" customWidth="1"/>
  </cols>
  <sheetData>
    <row r="1" spans="1:2" ht="22.5" customHeight="1" x14ac:dyDescent="0.3">
      <c r="A1" s="3" t="s">
        <v>0</v>
      </c>
      <c r="B1" s="3" t="s">
        <v>1</v>
      </c>
    </row>
    <row r="2" spans="1:2" x14ac:dyDescent="0.3">
      <c r="A2" s="2">
        <v>1</v>
      </c>
      <c r="B2" s="2">
        <v>171</v>
      </c>
    </row>
    <row r="3" spans="1:2" x14ac:dyDescent="0.3">
      <c r="A3" s="2">
        <v>2</v>
      </c>
      <c r="B3" s="2">
        <v>152</v>
      </c>
    </row>
    <row r="4" spans="1:2" x14ac:dyDescent="0.3">
      <c r="A4" s="2">
        <v>3</v>
      </c>
      <c r="B4" s="2">
        <v>171</v>
      </c>
    </row>
    <row r="5" spans="1:2" x14ac:dyDescent="0.3">
      <c r="A5" s="2">
        <v>4</v>
      </c>
      <c r="B5" s="2">
        <v>142</v>
      </c>
    </row>
    <row r="6" spans="1:2" x14ac:dyDescent="0.3">
      <c r="A6" s="2">
        <v>5</v>
      </c>
      <c r="B6" s="2">
        <v>153</v>
      </c>
    </row>
    <row r="7" spans="1:2" x14ac:dyDescent="0.3">
      <c r="A7" s="2">
        <v>6</v>
      </c>
      <c r="B7" s="2">
        <v>168</v>
      </c>
    </row>
    <row r="8" spans="1:2" x14ac:dyDescent="0.3">
      <c r="A8" s="2">
        <v>7</v>
      </c>
      <c r="B8" s="2">
        <v>150</v>
      </c>
    </row>
    <row r="9" spans="1:2" x14ac:dyDescent="0.3">
      <c r="A9" s="2">
        <v>8</v>
      </c>
      <c r="B9" s="2">
        <v>160</v>
      </c>
    </row>
    <row r="10" spans="1:2" x14ac:dyDescent="0.3">
      <c r="A10" s="2">
        <v>9</v>
      </c>
      <c r="B10" s="2">
        <v>170</v>
      </c>
    </row>
    <row r="11" spans="1:2" x14ac:dyDescent="0.3">
      <c r="A11" s="2">
        <v>10</v>
      </c>
      <c r="B11" s="2">
        <v>143</v>
      </c>
    </row>
    <row r="12" spans="1:2" x14ac:dyDescent="0.3">
      <c r="A12" s="2">
        <v>11</v>
      </c>
      <c r="B12" s="2">
        <v>144</v>
      </c>
    </row>
    <row r="13" spans="1:2" x14ac:dyDescent="0.3">
      <c r="A13" s="2">
        <v>12</v>
      </c>
      <c r="B13" s="2">
        <v>181</v>
      </c>
    </row>
    <row r="14" spans="1:2" x14ac:dyDescent="0.3">
      <c r="A14" s="2">
        <v>13</v>
      </c>
      <c r="B14" s="2">
        <v>178</v>
      </c>
    </row>
    <row r="15" spans="1:2" x14ac:dyDescent="0.3">
      <c r="A15" s="2">
        <v>14</v>
      </c>
      <c r="B15" s="2">
        <v>175</v>
      </c>
    </row>
    <row r="16" spans="1:2" x14ac:dyDescent="0.3">
      <c r="A16" s="2">
        <v>15</v>
      </c>
      <c r="B16" s="2">
        <v>170</v>
      </c>
    </row>
    <row r="17" spans="1:9" x14ac:dyDescent="0.3">
      <c r="A17" s="2">
        <v>16</v>
      </c>
      <c r="B17" s="2">
        <v>157</v>
      </c>
    </row>
    <row r="18" spans="1:9" x14ac:dyDescent="0.3">
      <c r="A18" s="2">
        <v>17</v>
      </c>
      <c r="B18" s="2">
        <v>150</v>
      </c>
    </row>
    <row r="19" spans="1:9" x14ac:dyDescent="0.3">
      <c r="A19" s="2">
        <v>18</v>
      </c>
      <c r="B19" s="2">
        <v>176</v>
      </c>
    </row>
    <row r="20" spans="1:9" x14ac:dyDescent="0.3">
      <c r="A20" s="2">
        <v>19</v>
      </c>
      <c r="B20" s="2">
        <v>154</v>
      </c>
    </row>
    <row r="21" spans="1:9" x14ac:dyDescent="0.3">
      <c r="A21" s="2">
        <v>20</v>
      </c>
      <c r="B21" s="2">
        <v>150</v>
      </c>
    </row>
    <row r="22" spans="1:9" x14ac:dyDescent="0.3">
      <c r="A22" s="2">
        <v>21</v>
      </c>
      <c r="B22" s="2">
        <v>170</v>
      </c>
    </row>
    <row r="23" spans="1:9" x14ac:dyDescent="0.3">
      <c r="A23" s="2">
        <v>22</v>
      </c>
      <c r="B23" s="2">
        <v>177</v>
      </c>
    </row>
    <row r="24" spans="1:9" x14ac:dyDescent="0.3">
      <c r="A24" s="2">
        <v>23</v>
      </c>
      <c r="B24" s="2">
        <v>173</v>
      </c>
      <c r="D24" s="2" t="s">
        <v>3</v>
      </c>
      <c r="E24" s="2">
        <f>MAX(B2:B31)</f>
        <v>182</v>
      </c>
    </row>
    <row r="25" spans="1:9" x14ac:dyDescent="0.3">
      <c r="A25" s="2">
        <v>24</v>
      </c>
      <c r="B25" s="2">
        <v>172</v>
      </c>
      <c r="D25" s="2" t="s">
        <v>4</v>
      </c>
      <c r="E25" s="2">
        <f>_xlfn.QUARTILE.EXC(B2:B31,3 )</f>
        <v>172.25</v>
      </c>
    </row>
    <row r="26" spans="1:9" x14ac:dyDescent="0.3">
      <c r="A26" s="2">
        <v>25</v>
      </c>
      <c r="B26" s="2">
        <v>143</v>
      </c>
      <c r="D26" s="2" t="s">
        <v>6</v>
      </c>
      <c r="E26" s="2">
        <f>AVERAGE(B2:B31)</f>
        <v>160.80000000000001</v>
      </c>
      <c r="G26" t="s">
        <v>9</v>
      </c>
      <c r="H26" t="s">
        <v>10</v>
      </c>
      <c r="I26" t="s">
        <v>11</v>
      </c>
    </row>
    <row r="27" spans="1:9" x14ac:dyDescent="0.3">
      <c r="A27" s="2">
        <v>26</v>
      </c>
      <c r="B27" s="2">
        <v>182</v>
      </c>
      <c r="D27" s="2" t="s">
        <v>7</v>
      </c>
      <c r="E27" s="2">
        <f>MEDIAN(B2:B31)</f>
        <v>158.5</v>
      </c>
      <c r="G27" t="s">
        <v>8</v>
      </c>
    </row>
    <row r="28" spans="1:9" x14ac:dyDescent="0.3">
      <c r="A28" s="2">
        <v>27</v>
      </c>
      <c r="B28" s="2">
        <v>143</v>
      </c>
      <c r="D28" s="2" t="s">
        <v>5</v>
      </c>
      <c r="E28" s="2">
        <f>_xlfn.QUARTILE.EXC(B2:B31,1 )</f>
        <v>149.75</v>
      </c>
      <c r="G28">
        <f>E25-E28</f>
        <v>22.5</v>
      </c>
    </row>
    <row r="29" spans="1:9" x14ac:dyDescent="0.3">
      <c r="A29" s="2">
        <v>28</v>
      </c>
      <c r="B29" s="2">
        <v>149</v>
      </c>
      <c r="D29" s="2" t="s">
        <v>2</v>
      </c>
      <c r="E29" s="2">
        <f>MIN(B2:B31)</f>
        <v>142</v>
      </c>
    </row>
    <row r="30" spans="1:9" x14ac:dyDescent="0.3">
      <c r="A30" s="2">
        <v>29</v>
      </c>
      <c r="B30" s="2">
        <v>153</v>
      </c>
    </row>
    <row r="31" spans="1:9" x14ac:dyDescent="0.3">
      <c r="A31" s="2">
        <v>30</v>
      </c>
      <c r="B31" s="2">
        <v>147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7437-8D69-43C2-B856-387BD37B1066}">
  <dimension ref="B3:V26"/>
  <sheetViews>
    <sheetView tabSelected="1" topLeftCell="A10" zoomScaleNormal="100" workbookViewId="0">
      <selection activeCell="P29" sqref="P29"/>
    </sheetView>
  </sheetViews>
  <sheetFormatPr defaultColWidth="9.875" defaultRowHeight="16.5" x14ac:dyDescent="0.3"/>
  <cols>
    <col min="17" max="17" width="15.125" bestFit="1" customWidth="1"/>
    <col min="18" max="18" width="22.5" bestFit="1" customWidth="1"/>
    <col min="19" max="22" width="11.625" bestFit="1" customWidth="1"/>
  </cols>
  <sheetData>
    <row r="3" spans="2:22" x14ac:dyDescent="0.3">
      <c r="B3" s="1"/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</row>
    <row r="4" spans="2:22" x14ac:dyDescent="0.3">
      <c r="B4" s="1" t="s">
        <v>1</v>
      </c>
      <c r="C4" s="1">
        <v>170</v>
      </c>
      <c r="D4" s="1">
        <v>155</v>
      </c>
      <c r="E4" s="1">
        <v>150</v>
      </c>
      <c r="F4" s="1">
        <v>175</v>
      </c>
      <c r="G4" s="1">
        <v>165</v>
      </c>
    </row>
    <row r="5" spans="2:22" x14ac:dyDescent="0.3">
      <c r="B5" s="1" t="s">
        <v>32</v>
      </c>
      <c r="C5" s="1">
        <v>65</v>
      </c>
      <c r="D5" s="1">
        <v>60</v>
      </c>
      <c r="E5" s="1">
        <v>45</v>
      </c>
      <c r="F5" s="1">
        <v>70</v>
      </c>
      <c r="G5" s="1">
        <v>55</v>
      </c>
    </row>
    <row r="7" spans="2:22" x14ac:dyDescent="0.3">
      <c r="H7" t="s">
        <v>40</v>
      </c>
      <c r="I7" t="s">
        <v>41</v>
      </c>
    </row>
    <row r="10" spans="2:22" x14ac:dyDescent="0.3">
      <c r="C10" s="2" t="s">
        <v>38</v>
      </c>
      <c r="D10" s="2" t="s">
        <v>1</v>
      </c>
      <c r="E10" s="2" t="s">
        <v>32</v>
      </c>
      <c r="G10" s="7" t="s">
        <v>39</v>
      </c>
      <c r="H10" s="8" t="s">
        <v>42</v>
      </c>
      <c r="K10" s="9" t="s">
        <v>44</v>
      </c>
      <c r="L10" t="s">
        <v>43</v>
      </c>
      <c r="Q10" t="s">
        <v>48</v>
      </c>
    </row>
    <row r="11" spans="2:22" x14ac:dyDescent="0.3">
      <c r="C11" s="2" t="s">
        <v>33</v>
      </c>
      <c r="D11" s="2">
        <v>170</v>
      </c>
      <c r="E11" s="2">
        <v>65</v>
      </c>
      <c r="K11" t="s">
        <v>45</v>
      </c>
      <c r="L11" t="s">
        <v>46</v>
      </c>
      <c r="M11" t="s">
        <v>47</v>
      </c>
      <c r="Q11" t="s">
        <v>49</v>
      </c>
    </row>
    <row r="12" spans="2:22" x14ac:dyDescent="0.3">
      <c r="C12" s="2" t="s">
        <v>34</v>
      </c>
      <c r="D12" s="2">
        <v>155</v>
      </c>
      <c r="E12" s="2">
        <v>60</v>
      </c>
      <c r="Q12" t="s">
        <v>50</v>
      </c>
    </row>
    <row r="13" spans="2:22" x14ac:dyDescent="0.3">
      <c r="C13" s="2" t="s">
        <v>35</v>
      </c>
      <c r="D13" s="2">
        <v>150</v>
      </c>
      <c r="E13" s="2">
        <v>45</v>
      </c>
    </row>
    <row r="14" spans="2:22" x14ac:dyDescent="0.3">
      <c r="C14" s="2" t="s">
        <v>36</v>
      </c>
      <c r="D14" s="2">
        <v>175</v>
      </c>
      <c r="E14" s="2">
        <v>70</v>
      </c>
    </row>
    <row r="15" spans="2:22" x14ac:dyDescent="0.3">
      <c r="C15" s="2" t="s">
        <v>37</v>
      </c>
      <c r="D15" s="2">
        <v>165</v>
      </c>
      <c r="E15" s="2">
        <v>55</v>
      </c>
      <c r="Q15" s="1"/>
      <c r="R15" s="1"/>
      <c r="S15" s="1"/>
      <c r="T15" s="1"/>
      <c r="U15" s="1"/>
      <c r="V15" s="1"/>
    </row>
    <row r="16" spans="2:22" x14ac:dyDescent="0.3">
      <c r="Q16" s="1"/>
      <c r="R16" s="1" t="s">
        <v>33</v>
      </c>
      <c r="S16" s="1" t="s">
        <v>34</v>
      </c>
      <c r="T16" s="1" t="s">
        <v>35</v>
      </c>
      <c r="U16" s="1" t="s">
        <v>36</v>
      </c>
      <c r="V16" s="1" t="s">
        <v>37</v>
      </c>
    </row>
    <row r="17" spans="17:22" x14ac:dyDescent="0.3">
      <c r="Q17" s="1" t="s">
        <v>52</v>
      </c>
      <c r="R17" s="1">
        <v>170</v>
      </c>
      <c r="S17" s="1">
        <v>155</v>
      </c>
      <c r="T17" s="1">
        <v>150</v>
      </c>
      <c r="U17" s="1">
        <v>175</v>
      </c>
      <c r="V17" s="1">
        <v>165</v>
      </c>
    </row>
    <row r="18" spans="17:22" x14ac:dyDescent="0.3">
      <c r="Q18" s="1" t="s">
        <v>53</v>
      </c>
      <c r="R18" s="1">
        <v>65</v>
      </c>
      <c r="S18" s="1">
        <v>60</v>
      </c>
      <c r="T18" s="1">
        <v>45</v>
      </c>
      <c r="U18" s="1">
        <v>70</v>
      </c>
      <c r="V18" s="1">
        <v>55</v>
      </c>
    </row>
    <row r="19" spans="17:22" x14ac:dyDescent="0.3">
      <c r="Q19" s="1" t="s">
        <v>51</v>
      </c>
      <c r="R19" s="1" t="s">
        <v>54</v>
      </c>
      <c r="S19" s="1" t="s">
        <v>55</v>
      </c>
      <c r="T19" s="1" t="s">
        <v>56</v>
      </c>
      <c r="U19" s="1" t="s">
        <v>57</v>
      </c>
      <c r="V19" s="1" t="s">
        <v>58</v>
      </c>
    </row>
    <row r="20" spans="17:22" x14ac:dyDescent="0.3">
      <c r="Q20" s="1" t="s">
        <v>60</v>
      </c>
      <c r="R20" s="1" t="s">
        <v>59</v>
      </c>
      <c r="S20" s="1" t="s">
        <v>69</v>
      </c>
      <c r="T20" s="1" t="s">
        <v>70</v>
      </c>
      <c r="U20" s="1" t="s">
        <v>71</v>
      </c>
      <c r="V20" s="1" t="s">
        <v>72</v>
      </c>
    </row>
    <row r="21" spans="17:22" x14ac:dyDescent="0.3">
      <c r="Q21" s="1" t="s">
        <v>61</v>
      </c>
      <c r="R21" s="1" t="s">
        <v>62</v>
      </c>
      <c r="S21" s="1"/>
      <c r="T21" s="1"/>
      <c r="U21" s="1"/>
      <c r="V21" s="1"/>
    </row>
    <row r="22" spans="17:22" x14ac:dyDescent="0.3">
      <c r="Q22" s="1" t="s">
        <v>63</v>
      </c>
      <c r="R22" s="9" t="s">
        <v>64</v>
      </c>
      <c r="S22" s="1"/>
      <c r="T22" s="1" t="s">
        <v>65</v>
      </c>
      <c r="U22" s="1" t="s">
        <v>66</v>
      </c>
      <c r="V22" s="1"/>
    </row>
    <row r="23" spans="17:22" x14ac:dyDescent="0.3">
      <c r="Q23" s="1" t="s">
        <v>67</v>
      </c>
      <c r="R23" s="1" t="s">
        <v>68</v>
      </c>
      <c r="S23" s="1"/>
      <c r="T23" s="1" t="s">
        <v>74</v>
      </c>
      <c r="U23" s="1"/>
      <c r="V23" s="1"/>
    </row>
    <row r="25" spans="17:22" x14ac:dyDescent="0.3">
      <c r="R25" s="10" t="s">
        <v>76</v>
      </c>
    </row>
    <row r="26" spans="17:22" x14ac:dyDescent="0.3">
      <c r="Q26" s="1" t="s">
        <v>73</v>
      </c>
      <c r="R26" t="s">
        <v>75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586A-A78C-406B-B2FC-B53FC6F7B0F1}">
  <dimension ref="A3:D9"/>
  <sheetViews>
    <sheetView topLeftCell="A2" zoomScale="175" zoomScaleNormal="175" workbookViewId="0">
      <selection activeCell="A3" sqref="A3"/>
    </sheetView>
  </sheetViews>
  <sheetFormatPr defaultRowHeight="16.5" x14ac:dyDescent="0.3"/>
  <cols>
    <col min="1" max="2" width="11.875" bestFit="1" customWidth="1"/>
    <col min="3" max="4" width="7.375" bestFit="1" customWidth="1"/>
    <col min="5" max="5" width="11.125" bestFit="1" customWidth="1"/>
    <col min="6" max="7" width="15.875" bestFit="1" customWidth="1"/>
    <col min="8" max="8" width="8.5" bestFit="1" customWidth="1"/>
    <col min="9" max="9" width="9.875" bestFit="1" customWidth="1"/>
    <col min="10" max="10" width="8.5" bestFit="1" customWidth="1"/>
  </cols>
  <sheetData>
    <row r="3" spans="1:4" x14ac:dyDescent="0.3">
      <c r="A3" s="4" t="s">
        <v>31</v>
      </c>
      <c r="B3" s="4" t="s">
        <v>28</v>
      </c>
      <c r="C3" s="5"/>
      <c r="D3" s="5"/>
    </row>
    <row r="4" spans="1:4" x14ac:dyDescent="0.3">
      <c r="A4" s="4" t="s">
        <v>30</v>
      </c>
      <c r="B4" s="5" t="s">
        <v>21</v>
      </c>
      <c r="C4" s="5" t="s">
        <v>23</v>
      </c>
      <c r="D4" s="5" t="s">
        <v>29</v>
      </c>
    </row>
    <row r="5" spans="1:4" x14ac:dyDescent="0.3">
      <c r="A5" s="6" t="s">
        <v>25</v>
      </c>
      <c r="B5" s="5">
        <v>42.2</v>
      </c>
      <c r="C5" s="5">
        <v>47.52</v>
      </c>
      <c r="D5" s="5">
        <v>44.86</v>
      </c>
    </row>
    <row r="6" spans="1:4" x14ac:dyDescent="0.3">
      <c r="A6" s="6" t="s">
        <v>26</v>
      </c>
      <c r="B6" s="5">
        <v>45.245454545454542</v>
      </c>
      <c r="C6" s="5">
        <v>47.087499999999999</v>
      </c>
      <c r="D6" s="5">
        <v>46.021052631578947</v>
      </c>
    </row>
    <row r="7" spans="1:4" x14ac:dyDescent="0.3">
      <c r="A7" s="6" t="s">
        <v>22</v>
      </c>
      <c r="B7" s="5">
        <v>39.33846153846153</v>
      </c>
      <c r="C7" s="5">
        <v>49.402857142857137</v>
      </c>
      <c r="D7" s="5">
        <v>45.113114754098362</v>
      </c>
    </row>
    <row r="8" spans="1:4" x14ac:dyDescent="0.3">
      <c r="A8" s="6" t="s">
        <v>24</v>
      </c>
      <c r="B8" s="5">
        <v>43.746153846153852</v>
      </c>
      <c r="C8" s="5">
        <v>49.785714285714285</v>
      </c>
      <c r="D8" s="5">
        <v>45.86</v>
      </c>
    </row>
    <row r="9" spans="1:4" x14ac:dyDescent="0.3">
      <c r="A9" s="6" t="s">
        <v>29</v>
      </c>
      <c r="B9" s="5">
        <v>41.853333333333318</v>
      </c>
      <c r="C9" s="5">
        <v>48.82500000000001</v>
      </c>
      <c r="D9" s="5">
        <v>45.339166666666664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C9E1-3DDB-429C-AE33-38846CB25EF5}">
  <dimension ref="A1:H121"/>
  <sheetViews>
    <sheetView topLeftCell="A2" workbookViewId="0">
      <selection activeCell="D19" sqref="D19"/>
    </sheetView>
  </sheetViews>
  <sheetFormatPr defaultRowHeight="16.5" x14ac:dyDescent="0.3"/>
  <cols>
    <col min="1" max="1" width="13.25" style="1" bestFit="1" customWidth="1"/>
    <col min="2" max="3" width="11.25" style="1" bestFit="1" customWidth="1"/>
    <col min="4" max="6" width="7.5" style="1" bestFit="1" customWidth="1"/>
    <col min="7" max="7" width="11.25" style="1" bestFit="1" customWidth="1"/>
    <col min="8" max="8" width="8.75" style="1" bestFit="1" customWidth="1"/>
    <col min="9" max="16384" width="9" style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">
      <c r="A2" s="1" t="s">
        <v>20</v>
      </c>
      <c r="B2" s="1" t="s">
        <v>21</v>
      </c>
      <c r="C2" s="1" t="s">
        <v>22</v>
      </c>
      <c r="D2" s="1">
        <v>35.6</v>
      </c>
      <c r="E2" s="1">
        <v>0.57699999999999996</v>
      </c>
      <c r="F2" s="1">
        <v>160.66999999999999</v>
      </c>
      <c r="G2" s="1">
        <v>39.6</v>
      </c>
      <c r="H2" s="1" t="s">
        <v>22</v>
      </c>
    </row>
    <row r="3" spans="1:8" x14ac:dyDescent="0.3">
      <c r="A3" s="1" t="s">
        <v>20</v>
      </c>
      <c r="B3" s="1" t="s">
        <v>23</v>
      </c>
      <c r="C3" s="1" t="s">
        <v>22</v>
      </c>
      <c r="D3" s="1">
        <v>47.5</v>
      </c>
      <c r="E3" s="1">
        <v>0.60399999999999998</v>
      </c>
      <c r="F3" s="1">
        <v>158.65</v>
      </c>
      <c r="G3" s="1">
        <v>17.600000000000001</v>
      </c>
      <c r="H3" s="1" t="s">
        <v>22</v>
      </c>
    </row>
    <row r="4" spans="1:8" x14ac:dyDescent="0.3">
      <c r="A4" s="1" t="s">
        <v>20</v>
      </c>
      <c r="B4" s="1" t="s">
        <v>23</v>
      </c>
      <c r="C4" s="1" t="s">
        <v>22</v>
      </c>
      <c r="D4" s="1">
        <v>50.7</v>
      </c>
      <c r="E4" s="1">
        <v>0.64</v>
      </c>
      <c r="F4" s="1">
        <v>157.76</v>
      </c>
      <c r="G4" s="1">
        <v>18.7</v>
      </c>
      <c r="H4" s="1" t="s">
        <v>22</v>
      </c>
    </row>
    <row r="5" spans="1:8" x14ac:dyDescent="0.3">
      <c r="A5" s="1" t="s">
        <v>20</v>
      </c>
      <c r="B5" s="1" t="s">
        <v>23</v>
      </c>
      <c r="C5" s="1" t="s">
        <v>22</v>
      </c>
      <c r="D5" s="1">
        <v>51.7</v>
      </c>
      <c r="E5" s="1">
        <v>0.63500000000000001</v>
      </c>
      <c r="F5" s="1">
        <v>157.54</v>
      </c>
      <c r="G5" s="1">
        <v>19.600000000000001</v>
      </c>
      <c r="H5" s="1" t="s">
        <v>22</v>
      </c>
    </row>
    <row r="6" spans="1:8" x14ac:dyDescent="0.3">
      <c r="A6" s="1" t="s">
        <v>20</v>
      </c>
      <c r="B6" s="1" t="s">
        <v>23</v>
      </c>
      <c r="C6" s="1" t="s">
        <v>22</v>
      </c>
      <c r="D6" s="1">
        <v>52.4</v>
      </c>
      <c r="E6" s="1">
        <v>0.63500000000000001</v>
      </c>
      <c r="F6" s="1">
        <v>157.36000000000001</v>
      </c>
      <c r="G6" s="1">
        <v>21.1</v>
      </c>
      <c r="H6" s="1" t="s">
        <v>22</v>
      </c>
    </row>
    <row r="7" spans="1:8" x14ac:dyDescent="0.3">
      <c r="A7" s="1" t="s">
        <v>20</v>
      </c>
      <c r="B7" s="1" t="s">
        <v>23</v>
      </c>
      <c r="C7" s="1" t="s">
        <v>22</v>
      </c>
      <c r="D7" s="1">
        <v>53.1</v>
      </c>
      <c r="E7" s="1">
        <v>0.64800000000000002</v>
      </c>
      <c r="F7" s="1">
        <v>157.19999999999999</v>
      </c>
      <c r="G7" s="1">
        <v>20.9</v>
      </c>
      <c r="H7" s="1" t="s">
        <v>22</v>
      </c>
    </row>
    <row r="8" spans="1:8" x14ac:dyDescent="0.3">
      <c r="A8" s="1" t="s">
        <v>20</v>
      </c>
      <c r="B8" s="1" t="s">
        <v>23</v>
      </c>
      <c r="C8" s="1" t="s">
        <v>22</v>
      </c>
      <c r="D8" s="1">
        <v>53.5</v>
      </c>
      <c r="E8" s="1">
        <v>0.66600000000000004</v>
      </c>
      <c r="F8" s="1">
        <v>157.07</v>
      </c>
      <c r="G8" s="1">
        <v>20.100000000000001</v>
      </c>
      <c r="H8" s="1" t="s">
        <v>22</v>
      </c>
    </row>
    <row r="9" spans="1:8" x14ac:dyDescent="0.3">
      <c r="A9" s="1" t="s">
        <v>20</v>
      </c>
      <c r="B9" s="1" t="s">
        <v>23</v>
      </c>
      <c r="C9" s="1" t="s">
        <v>22</v>
      </c>
      <c r="D9" s="1">
        <v>53.7</v>
      </c>
      <c r="E9" s="1">
        <v>0.65600000000000003</v>
      </c>
      <c r="F9" s="1">
        <v>157.09</v>
      </c>
      <c r="G9" s="1">
        <v>19.600000000000001</v>
      </c>
      <c r="H9" s="1" t="s">
        <v>22</v>
      </c>
    </row>
    <row r="10" spans="1:8" x14ac:dyDescent="0.3">
      <c r="A10" s="1" t="s">
        <v>20</v>
      </c>
      <c r="B10" s="1" t="s">
        <v>23</v>
      </c>
      <c r="C10" s="1" t="s">
        <v>22</v>
      </c>
      <c r="D10" s="1">
        <v>53.9</v>
      </c>
      <c r="E10" s="1">
        <v>0.66</v>
      </c>
      <c r="F10" s="1">
        <v>156.94999999999999</v>
      </c>
      <c r="G10" s="1">
        <v>19.600000000000001</v>
      </c>
      <c r="H10" s="1" t="s">
        <v>22</v>
      </c>
    </row>
    <row r="11" spans="1:8" x14ac:dyDescent="0.3">
      <c r="A11" s="1" t="s">
        <v>20</v>
      </c>
      <c r="B11" s="1" t="s">
        <v>23</v>
      </c>
      <c r="C11" s="1" t="s">
        <v>22</v>
      </c>
      <c r="D11" s="1">
        <v>53.9</v>
      </c>
      <c r="E11" s="1">
        <v>0.66800000000000004</v>
      </c>
      <c r="F11" s="1">
        <v>157.07</v>
      </c>
      <c r="G11" s="1">
        <v>19.600000000000001</v>
      </c>
      <c r="H11" s="1" t="s">
        <v>22</v>
      </c>
    </row>
    <row r="12" spans="1:8" x14ac:dyDescent="0.3">
      <c r="A12" s="1" t="s">
        <v>20</v>
      </c>
      <c r="B12" s="1" t="s">
        <v>23</v>
      </c>
      <c r="C12" s="1" t="s">
        <v>22</v>
      </c>
      <c r="D12" s="1">
        <v>54.1</v>
      </c>
      <c r="E12" s="1">
        <v>0.66700000000000004</v>
      </c>
      <c r="F12" s="1">
        <v>157</v>
      </c>
      <c r="G12" s="1">
        <v>20</v>
      </c>
      <c r="H12" s="1" t="s">
        <v>22</v>
      </c>
    </row>
    <row r="13" spans="1:8" x14ac:dyDescent="0.3">
      <c r="A13" s="1" t="s">
        <v>20</v>
      </c>
      <c r="B13" s="1" t="s">
        <v>23</v>
      </c>
      <c r="C13" s="1" t="s">
        <v>22</v>
      </c>
      <c r="D13" s="1">
        <v>54.3</v>
      </c>
      <c r="E13" s="1">
        <v>0.66200000000000003</v>
      </c>
      <c r="F13" s="1">
        <v>157.01</v>
      </c>
      <c r="G13" s="1">
        <v>19.899999999999999</v>
      </c>
      <c r="H13" s="1" t="s">
        <v>22</v>
      </c>
    </row>
    <row r="14" spans="1:8" x14ac:dyDescent="0.3">
      <c r="A14" s="1" t="s">
        <v>20</v>
      </c>
      <c r="B14" s="1" t="s">
        <v>23</v>
      </c>
      <c r="C14" s="1" t="s">
        <v>24</v>
      </c>
      <c r="D14" s="1">
        <v>54.2</v>
      </c>
      <c r="E14" s="1">
        <v>0.66100000000000003</v>
      </c>
      <c r="F14" s="1">
        <v>156.19999999999999</v>
      </c>
      <c r="G14" s="1">
        <v>19.899999999999999</v>
      </c>
      <c r="H14" s="1" t="s">
        <v>20</v>
      </c>
    </row>
    <row r="15" spans="1:8" x14ac:dyDescent="0.3">
      <c r="A15" s="1" t="s">
        <v>20</v>
      </c>
      <c r="B15" s="1" t="s">
        <v>23</v>
      </c>
      <c r="C15" s="1" t="s">
        <v>25</v>
      </c>
      <c r="D15" s="1">
        <v>54.2</v>
      </c>
      <c r="E15" s="1">
        <v>0.64800000000000002</v>
      </c>
      <c r="F15" s="1">
        <v>156.13999999999999</v>
      </c>
      <c r="G15" s="1">
        <v>19.899999999999999</v>
      </c>
      <c r="H15" s="1" t="s">
        <v>20</v>
      </c>
    </row>
    <row r="16" spans="1:8" x14ac:dyDescent="0.3">
      <c r="A16" s="1" t="s">
        <v>20</v>
      </c>
      <c r="B16" s="1" t="s">
        <v>23</v>
      </c>
      <c r="C16" s="1" t="s">
        <v>26</v>
      </c>
      <c r="D16" s="1">
        <v>54.5</v>
      </c>
      <c r="E16" s="1">
        <v>0.65700000000000003</v>
      </c>
      <c r="F16" s="1">
        <v>156.54</v>
      </c>
      <c r="G16" s="1">
        <v>20.100000000000001</v>
      </c>
      <c r="H16" s="1" t="s">
        <v>20</v>
      </c>
    </row>
    <row r="17" spans="1:8" x14ac:dyDescent="0.3">
      <c r="A17" s="1" t="s">
        <v>20</v>
      </c>
      <c r="B17" s="1" t="s">
        <v>23</v>
      </c>
      <c r="C17" s="1" t="s">
        <v>25</v>
      </c>
      <c r="D17" s="1">
        <v>54.4</v>
      </c>
      <c r="E17" s="1">
        <v>0.65900000000000003</v>
      </c>
      <c r="F17" s="1">
        <v>156.49</v>
      </c>
      <c r="G17" s="1">
        <v>20</v>
      </c>
      <c r="H17" s="1" t="s">
        <v>20</v>
      </c>
    </row>
    <row r="18" spans="1:8" x14ac:dyDescent="0.3">
      <c r="A18" s="1" t="s">
        <v>20</v>
      </c>
      <c r="B18" s="1" t="s">
        <v>23</v>
      </c>
      <c r="C18" s="1" t="s">
        <v>26</v>
      </c>
      <c r="D18" s="1">
        <v>54.6</v>
      </c>
      <c r="E18" s="1">
        <v>0.66600000000000004</v>
      </c>
      <c r="F18" s="1">
        <v>157.07</v>
      </c>
      <c r="G18" s="1">
        <v>20.2</v>
      </c>
      <c r="H18" s="1" t="s">
        <v>22</v>
      </c>
    </row>
    <row r="19" spans="1:8" x14ac:dyDescent="0.3">
      <c r="A19" s="1" t="s">
        <v>20</v>
      </c>
      <c r="B19" s="1" t="s">
        <v>23</v>
      </c>
      <c r="C19" s="1" t="s">
        <v>25</v>
      </c>
      <c r="D19" s="1">
        <v>55</v>
      </c>
      <c r="E19" s="1">
        <v>0.65600000000000003</v>
      </c>
      <c r="F19" s="1">
        <v>156.79</v>
      </c>
      <c r="G19" s="1">
        <v>20.6</v>
      </c>
      <c r="H19" s="1" t="s">
        <v>22</v>
      </c>
    </row>
    <row r="20" spans="1:8" x14ac:dyDescent="0.3">
      <c r="A20" s="1" t="s">
        <v>20</v>
      </c>
      <c r="B20" s="1" t="s">
        <v>23</v>
      </c>
      <c r="C20" s="1" t="s">
        <v>22</v>
      </c>
      <c r="D20" s="1">
        <v>54.5</v>
      </c>
      <c r="E20" s="1">
        <v>0.67600000000000005</v>
      </c>
      <c r="F20" s="1">
        <v>156.82</v>
      </c>
      <c r="G20" s="1">
        <v>20.399999999999999</v>
      </c>
      <c r="H20" s="1" t="s">
        <v>22</v>
      </c>
    </row>
    <row r="21" spans="1:8" x14ac:dyDescent="0.3">
      <c r="A21" s="1" t="s">
        <v>20</v>
      </c>
      <c r="B21" s="1" t="s">
        <v>21</v>
      </c>
      <c r="C21" s="1" t="s">
        <v>26</v>
      </c>
      <c r="D21" s="1">
        <v>54.4</v>
      </c>
      <c r="E21" s="1">
        <v>0.749</v>
      </c>
      <c r="F21" s="1">
        <v>173.28</v>
      </c>
      <c r="G21" s="1">
        <v>20.2</v>
      </c>
      <c r="H21" s="1" t="s">
        <v>20</v>
      </c>
    </row>
    <row r="22" spans="1:8" x14ac:dyDescent="0.3">
      <c r="A22" s="1" t="s">
        <v>20</v>
      </c>
      <c r="B22" s="1" t="s">
        <v>21</v>
      </c>
      <c r="C22" s="1" t="s">
        <v>25</v>
      </c>
      <c r="D22" s="1">
        <v>56</v>
      </c>
      <c r="E22" s="1">
        <v>0.77900000000000003</v>
      </c>
      <c r="F22" s="1">
        <v>180.41</v>
      </c>
      <c r="G22" s="1">
        <v>20.8</v>
      </c>
      <c r="H22" s="1" t="s">
        <v>20</v>
      </c>
    </row>
    <row r="23" spans="1:8" x14ac:dyDescent="0.3">
      <c r="A23" s="1" t="s">
        <v>20</v>
      </c>
      <c r="B23" s="1" t="s">
        <v>21</v>
      </c>
      <c r="C23" s="1" t="s">
        <v>26</v>
      </c>
      <c r="D23" s="1">
        <v>56.6</v>
      </c>
      <c r="E23" s="1">
        <v>0.73899999999999999</v>
      </c>
      <c r="F23" s="1">
        <v>180.7</v>
      </c>
      <c r="G23" s="1">
        <v>19.7</v>
      </c>
      <c r="H23" s="1" t="s">
        <v>20</v>
      </c>
    </row>
    <row r="24" spans="1:8" x14ac:dyDescent="0.3">
      <c r="A24" s="1" t="s">
        <v>20</v>
      </c>
      <c r="B24" s="1" t="s">
        <v>21</v>
      </c>
      <c r="C24" s="1" t="s">
        <v>25</v>
      </c>
      <c r="D24" s="1">
        <v>56.8</v>
      </c>
      <c r="E24" s="1">
        <v>0.73299999999999998</v>
      </c>
      <c r="F24" s="1">
        <v>172.86</v>
      </c>
      <c r="G24" s="1">
        <v>19</v>
      </c>
      <c r="H24" s="1" t="s">
        <v>20</v>
      </c>
    </row>
    <row r="25" spans="1:8" x14ac:dyDescent="0.3">
      <c r="A25" s="1" t="s">
        <v>20</v>
      </c>
      <c r="B25" s="1" t="s">
        <v>23</v>
      </c>
      <c r="C25" s="1" t="s">
        <v>22</v>
      </c>
      <c r="D25" s="1">
        <v>57.1</v>
      </c>
      <c r="E25" s="1">
        <v>0.72499999999999998</v>
      </c>
      <c r="F25" s="1">
        <v>156.08000000000001</v>
      </c>
      <c r="G25" s="1">
        <v>18.8</v>
      </c>
      <c r="H25" s="1" t="s">
        <v>22</v>
      </c>
    </row>
    <row r="26" spans="1:8" x14ac:dyDescent="0.3">
      <c r="A26" s="1" t="s">
        <v>20</v>
      </c>
      <c r="B26" s="1" t="s">
        <v>23</v>
      </c>
      <c r="C26" s="1" t="s">
        <v>24</v>
      </c>
      <c r="D26" s="1">
        <v>56.3</v>
      </c>
      <c r="E26" s="1">
        <v>0.65400000000000003</v>
      </c>
      <c r="F26" s="1">
        <v>156.4</v>
      </c>
      <c r="G26" s="1">
        <v>20.3</v>
      </c>
      <c r="H26" s="1" t="s">
        <v>22</v>
      </c>
    </row>
    <row r="27" spans="1:8" x14ac:dyDescent="0.3">
      <c r="A27" s="1" t="s">
        <v>20</v>
      </c>
      <c r="B27" s="1" t="s">
        <v>21</v>
      </c>
      <c r="C27" s="1" t="s">
        <v>22</v>
      </c>
      <c r="D27" s="1">
        <v>56</v>
      </c>
      <c r="E27" s="1">
        <v>0.73299999999999998</v>
      </c>
      <c r="F27" s="1">
        <v>180.92</v>
      </c>
      <c r="G27" s="1">
        <v>20.6</v>
      </c>
      <c r="H27" s="1" t="s">
        <v>22</v>
      </c>
    </row>
    <row r="28" spans="1:8" x14ac:dyDescent="0.3">
      <c r="A28" s="1" t="s">
        <v>20</v>
      </c>
      <c r="B28" s="1" t="s">
        <v>21</v>
      </c>
      <c r="C28" s="1" t="s">
        <v>26</v>
      </c>
      <c r="D28" s="1">
        <v>56</v>
      </c>
      <c r="E28" s="1">
        <v>0.74099999999999999</v>
      </c>
      <c r="F28" s="1">
        <v>173.03</v>
      </c>
      <c r="G28" s="1">
        <v>20</v>
      </c>
      <c r="H28" s="1" t="s">
        <v>20</v>
      </c>
    </row>
    <row r="29" spans="1:8" x14ac:dyDescent="0.3">
      <c r="A29" s="1" t="s">
        <v>20</v>
      </c>
      <c r="B29" s="1" t="s">
        <v>21</v>
      </c>
      <c r="C29" s="1" t="s">
        <v>25</v>
      </c>
      <c r="D29" s="1">
        <v>57.1</v>
      </c>
      <c r="E29" s="1">
        <v>0.75900000000000001</v>
      </c>
      <c r="F29" s="1">
        <v>173.06</v>
      </c>
      <c r="G29" s="1">
        <v>19.3</v>
      </c>
      <c r="H29" s="1" t="s">
        <v>20</v>
      </c>
    </row>
    <row r="30" spans="1:8" x14ac:dyDescent="0.3">
      <c r="A30" s="1" t="s">
        <v>20</v>
      </c>
      <c r="B30" s="1" t="s">
        <v>21</v>
      </c>
      <c r="C30" s="1" t="s">
        <v>26</v>
      </c>
      <c r="D30" s="1">
        <v>57.6</v>
      </c>
      <c r="E30" s="1">
        <v>0.71899999999999997</v>
      </c>
      <c r="F30" s="1">
        <v>172.94</v>
      </c>
      <c r="G30" s="1">
        <v>18.899999999999999</v>
      </c>
      <c r="H30" s="1" t="s">
        <v>20</v>
      </c>
    </row>
    <row r="31" spans="1:8" x14ac:dyDescent="0.3">
      <c r="A31" s="1" t="s">
        <v>20</v>
      </c>
      <c r="B31" s="1" t="s">
        <v>21</v>
      </c>
      <c r="C31" s="1" t="s">
        <v>24</v>
      </c>
      <c r="D31" s="1">
        <v>57.5</v>
      </c>
      <c r="E31" s="1">
        <v>0.73199999999999998</v>
      </c>
      <c r="F31" s="1">
        <v>172.87</v>
      </c>
      <c r="G31" s="1">
        <v>19.2</v>
      </c>
      <c r="H31" s="1" t="s">
        <v>20</v>
      </c>
    </row>
    <row r="32" spans="1:8" x14ac:dyDescent="0.3">
      <c r="A32" s="1" t="s">
        <v>20</v>
      </c>
      <c r="B32" s="1" t="s">
        <v>21</v>
      </c>
      <c r="C32" s="1" t="s">
        <v>22</v>
      </c>
      <c r="D32" s="1">
        <v>57.8</v>
      </c>
      <c r="E32" s="1">
        <v>0.72499999999999998</v>
      </c>
      <c r="F32" s="1">
        <v>172.72</v>
      </c>
      <c r="G32" s="1">
        <v>19.2</v>
      </c>
      <c r="H32" s="1" t="s">
        <v>20</v>
      </c>
    </row>
    <row r="33" spans="1:8" x14ac:dyDescent="0.3">
      <c r="A33" s="1" t="s">
        <v>20</v>
      </c>
      <c r="B33" s="1" t="s">
        <v>21</v>
      </c>
      <c r="C33" s="1" t="s">
        <v>24</v>
      </c>
      <c r="D33" s="1">
        <v>57.2</v>
      </c>
      <c r="E33" s="1">
        <v>0.77400000000000002</v>
      </c>
      <c r="F33" s="1">
        <v>173.32</v>
      </c>
      <c r="G33" s="1">
        <v>19.100000000000001</v>
      </c>
      <c r="H33" s="1" t="s">
        <v>22</v>
      </c>
    </row>
    <row r="34" spans="1:8" x14ac:dyDescent="0.3">
      <c r="A34" s="1" t="s">
        <v>20</v>
      </c>
      <c r="B34" s="1" t="s">
        <v>23</v>
      </c>
      <c r="C34" s="1" t="s">
        <v>22</v>
      </c>
      <c r="D34" s="1">
        <v>57</v>
      </c>
      <c r="E34" s="1">
        <v>0.74099999999999999</v>
      </c>
      <c r="F34" s="1">
        <v>156.6</v>
      </c>
      <c r="G34" s="1">
        <v>19</v>
      </c>
      <c r="H34" s="1" t="s">
        <v>22</v>
      </c>
    </row>
    <row r="35" spans="1:8" x14ac:dyDescent="0.3">
      <c r="A35" s="1" t="s">
        <v>20</v>
      </c>
      <c r="B35" s="1" t="s">
        <v>21</v>
      </c>
      <c r="C35" s="1" t="s">
        <v>26</v>
      </c>
      <c r="D35" s="1">
        <v>56.3</v>
      </c>
      <c r="E35" s="1">
        <v>0.72799999999999998</v>
      </c>
      <c r="F35" s="1">
        <v>173.06</v>
      </c>
      <c r="G35" s="1">
        <v>19.600000000000001</v>
      </c>
      <c r="H35" s="1" t="s">
        <v>20</v>
      </c>
    </row>
    <row r="36" spans="1:8" x14ac:dyDescent="0.3">
      <c r="A36" s="1" t="s">
        <v>20</v>
      </c>
      <c r="B36" s="1" t="s">
        <v>21</v>
      </c>
      <c r="C36" s="1" t="s">
        <v>24</v>
      </c>
      <c r="D36" s="1">
        <v>57.2</v>
      </c>
      <c r="E36" s="1">
        <v>0.70599999999999996</v>
      </c>
      <c r="F36" s="1">
        <v>166.57</v>
      </c>
      <c r="G36" s="1">
        <v>18.8</v>
      </c>
      <c r="H36" s="1" t="s">
        <v>20</v>
      </c>
    </row>
    <row r="37" spans="1:8" x14ac:dyDescent="0.3">
      <c r="A37" s="1" t="s">
        <v>20</v>
      </c>
      <c r="B37" s="1" t="s">
        <v>21</v>
      </c>
      <c r="C37" s="1" t="s">
        <v>22</v>
      </c>
      <c r="D37" s="1">
        <v>57.2</v>
      </c>
      <c r="E37" s="1">
        <v>0.72499999999999998</v>
      </c>
      <c r="F37" s="1">
        <v>172.58</v>
      </c>
      <c r="G37" s="1">
        <v>18.899999999999999</v>
      </c>
      <c r="H37" s="1" t="s">
        <v>20</v>
      </c>
    </row>
    <row r="38" spans="1:8" x14ac:dyDescent="0.3">
      <c r="A38" s="1" t="s">
        <v>20</v>
      </c>
      <c r="B38" s="1" t="s">
        <v>21</v>
      </c>
      <c r="C38" s="1" t="s">
        <v>24</v>
      </c>
      <c r="D38" s="1">
        <v>57.2</v>
      </c>
      <c r="E38" s="1">
        <v>0.69699999999999995</v>
      </c>
      <c r="F38" s="1">
        <v>166.75</v>
      </c>
      <c r="G38" s="1">
        <v>18.8</v>
      </c>
      <c r="H38" s="1" t="s">
        <v>20</v>
      </c>
    </row>
    <row r="39" spans="1:8" x14ac:dyDescent="0.3">
      <c r="A39" s="1" t="s">
        <v>20</v>
      </c>
      <c r="B39" s="1" t="s">
        <v>21</v>
      </c>
      <c r="C39" s="1" t="s">
        <v>22</v>
      </c>
      <c r="D39" s="1">
        <v>57.1</v>
      </c>
      <c r="E39" s="1">
        <v>0.71899999999999997</v>
      </c>
      <c r="F39" s="1">
        <v>172.86</v>
      </c>
      <c r="G39" s="1">
        <v>18.7</v>
      </c>
      <c r="H39" s="1" t="s">
        <v>20</v>
      </c>
    </row>
    <row r="40" spans="1:8" x14ac:dyDescent="0.3">
      <c r="A40" s="1" t="s">
        <v>20</v>
      </c>
      <c r="B40" s="1" t="s">
        <v>23</v>
      </c>
      <c r="C40" s="1" t="s">
        <v>24</v>
      </c>
      <c r="D40" s="1">
        <v>56.6</v>
      </c>
      <c r="E40" s="1">
        <v>0.66</v>
      </c>
      <c r="F40" s="1">
        <v>156.31</v>
      </c>
      <c r="G40" s="1">
        <v>18.600000000000001</v>
      </c>
      <c r="H40" s="1" t="s">
        <v>22</v>
      </c>
    </row>
    <row r="41" spans="1:8" x14ac:dyDescent="0.3">
      <c r="A41" s="1" t="s">
        <v>20</v>
      </c>
      <c r="B41" s="1" t="s">
        <v>23</v>
      </c>
      <c r="C41" s="1" t="s">
        <v>22</v>
      </c>
      <c r="D41" s="1">
        <v>55.9</v>
      </c>
      <c r="E41" s="1">
        <v>0.64600000000000002</v>
      </c>
      <c r="F41" s="1">
        <v>156.32</v>
      </c>
      <c r="G41" s="1">
        <v>20.100000000000001</v>
      </c>
      <c r="H41" s="1" t="s">
        <v>22</v>
      </c>
    </row>
    <row r="42" spans="1:8" x14ac:dyDescent="0.3">
      <c r="A42" s="1" t="s">
        <v>27</v>
      </c>
      <c r="B42" s="1" t="s">
        <v>23</v>
      </c>
      <c r="C42" s="1" t="s">
        <v>22</v>
      </c>
      <c r="D42" s="1">
        <v>51.2</v>
      </c>
      <c r="E42" s="1">
        <v>0.59199999999999997</v>
      </c>
      <c r="F42" s="1">
        <v>157.09</v>
      </c>
      <c r="G42" s="1">
        <v>27</v>
      </c>
      <c r="H42" s="1" t="s">
        <v>22</v>
      </c>
    </row>
    <row r="43" spans="1:8" x14ac:dyDescent="0.3">
      <c r="A43" s="1" t="s">
        <v>27</v>
      </c>
      <c r="B43" s="1" t="s">
        <v>23</v>
      </c>
      <c r="C43" s="1" t="s">
        <v>22</v>
      </c>
      <c r="D43" s="1">
        <v>48.1</v>
      </c>
      <c r="E43" s="1">
        <v>0.59499999999999997</v>
      </c>
      <c r="F43" s="1">
        <v>157.86000000000001</v>
      </c>
      <c r="G43" s="1">
        <v>26.3</v>
      </c>
      <c r="H43" s="1" t="s">
        <v>22</v>
      </c>
    </row>
    <row r="44" spans="1:8" x14ac:dyDescent="0.3">
      <c r="A44" s="1" t="s">
        <v>27</v>
      </c>
      <c r="B44" s="1" t="s">
        <v>23</v>
      </c>
      <c r="C44" s="1" t="s">
        <v>22</v>
      </c>
      <c r="D44" s="1">
        <v>47.4</v>
      </c>
      <c r="E44" s="1">
        <v>0.59599999999999997</v>
      </c>
      <c r="F44" s="1">
        <v>158.09</v>
      </c>
      <c r="G44" s="1">
        <v>26.3</v>
      </c>
      <c r="H44" s="1" t="s">
        <v>22</v>
      </c>
    </row>
    <row r="45" spans="1:8" x14ac:dyDescent="0.3">
      <c r="A45" s="1" t="s">
        <v>27</v>
      </c>
      <c r="B45" s="1" t="s">
        <v>23</v>
      </c>
      <c r="C45" s="1" t="s">
        <v>22</v>
      </c>
      <c r="D45" s="1">
        <v>47.1</v>
      </c>
      <c r="E45" s="1">
        <v>0.59699999999999998</v>
      </c>
      <c r="F45" s="1">
        <v>158.16</v>
      </c>
      <c r="G45" s="1">
        <v>26.3</v>
      </c>
      <c r="H45" s="1" t="s">
        <v>22</v>
      </c>
    </row>
    <row r="46" spans="1:8" x14ac:dyDescent="0.3">
      <c r="A46" s="1" t="s">
        <v>27</v>
      </c>
      <c r="B46" s="1" t="s">
        <v>23</v>
      </c>
      <c r="C46" s="1" t="s">
        <v>22</v>
      </c>
      <c r="D46" s="1">
        <v>46.9</v>
      </c>
      <c r="E46" s="1">
        <v>0.59399999999999997</v>
      </c>
      <c r="F46" s="1">
        <v>158.24</v>
      </c>
      <c r="G46" s="1">
        <v>26.2</v>
      </c>
      <c r="H46" s="1" t="s">
        <v>22</v>
      </c>
    </row>
    <row r="47" spans="1:8" x14ac:dyDescent="0.3">
      <c r="A47" s="1" t="s">
        <v>27</v>
      </c>
      <c r="B47" s="1" t="s">
        <v>23</v>
      </c>
      <c r="C47" s="1" t="s">
        <v>22</v>
      </c>
      <c r="D47" s="1">
        <v>46.8</v>
      </c>
      <c r="E47" s="1">
        <v>0.59299999999999997</v>
      </c>
      <c r="F47" s="1">
        <v>158.25</v>
      </c>
      <c r="G47" s="1">
        <v>26.2</v>
      </c>
      <c r="H47" s="1" t="s">
        <v>22</v>
      </c>
    </row>
    <row r="48" spans="1:8" x14ac:dyDescent="0.3">
      <c r="A48" s="1" t="s">
        <v>27</v>
      </c>
      <c r="B48" s="1" t="s">
        <v>23</v>
      </c>
      <c r="C48" s="1" t="s">
        <v>22</v>
      </c>
      <c r="D48" s="1">
        <v>46.7</v>
      </c>
      <c r="E48" s="1">
        <v>0.60399999999999998</v>
      </c>
      <c r="F48" s="1">
        <v>158.30000000000001</v>
      </c>
      <c r="G48" s="1">
        <v>26.4</v>
      </c>
      <c r="H48" s="1" t="s">
        <v>22</v>
      </c>
    </row>
    <row r="49" spans="1:8" x14ac:dyDescent="0.3">
      <c r="A49" s="1" t="s">
        <v>27</v>
      </c>
      <c r="B49" s="1" t="s">
        <v>23</v>
      </c>
      <c r="C49" s="1" t="s">
        <v>22</v>
      </c>
      <c r="D49" s="1">
        <v>46.6</v>
      </c>
      <c r="E49" s="1">
        <v>0.60099999999999998</v>
      </c>
      <c r="F49" s="1">
        <v>158.32</v>
      </c>
      <c r="G49" s="1">
        <v>26.3</v>
      </c>
      <c r="H49" s="1" t="s">
        <v>22</v>
      </c>
    </row>
    <row r="50" spans="1:8" x14ac:dyDescent="0.3">
      <c r="A50" s="1" t="s">
        <v>27</v>
      </c>
      <c r="B50" s="1" t="s">
        <v>23</v>
      </c>
      <c r="C50" s="1" t="s">
        <v>22</v>
      </c>
      <c r="D50" s="1">
        <v>46.5</v>
      </c>
      <c r="E50" s="1">
        <v>0.61399999999999999</v>
      </c>
      <c r="F50" s="1">
        <v>158.30000000000001</v>
      </c>
      <c r="G50" s="1">
        <v>26.5</v>
      </c>
      <c r="H50" s="1" t="s">
        <v>22</v>
      </c>
    </row>
    <row r="51" spans="1:8" x14ac:dyDescent="0.3">
      <c r="A51" s="1" t="s">
        <v>27</v>
      </c>
      <c r="B51" s="1" t="s">
        <v>23</v>
      </c>
      <c r="C51" s="1" t="s">
        <v>22</v>
      </c>
      <c r="D51" s="1">
        <v>46.5</v>
      </c>
      <c r="E51" s="1">
        <v>0.61</v>
      </c>
      <c r="F51" s="1">
        <v>158.35</v>
      </c>
      <c r="G51" s="1">
        <v>26.8</v>
      </c>
      <c r="H51" s="1" t="s">
        <v>22</v>
      </c>
    </row>
    <row r="52" spans="1:8" x14ac:dyDescent="0.3">
      <c r="A52" s="1" t="s">
        <v>27</v>
      </c>
      <c r="B52" s="1" t="s">
        <v>23</v>
      </c>
      <c r="C52" s="1" t="s">
        <v>22</v>
      </c>
      <c r="D52" s="1">
        <v>46.4</v>
      </c>
      <c r="E52" s="1">
        <v>0.622</v>
      </c>
      <c r="F52" s="1">
        <v>158.38999999999999</v>
      </c>
      <c r="G52" s="1">
        <v>26.5</v>
      </c>
      <c r="H52" s="1" t="s">
        <v>22</v>
      </c>
    </row>
    <row r="53" spans="1:8" x14ac:dyDescent="0.3">
      <c r="A53" s="1" t="s">
        <v>27</v>
      </c>
      <c r="B53" s="1" t="s">
        <v>23</v>
      </c>
      <c r="C53" s="1" t="s">
        <v>26</v>
      </c>
      <c r="D53" s="1">
        <v>46.1</v>
      </c>
      <c r="E53" s="1">
        <v>0.61699999999999999</v>
      </c>
      <c r="F53" s="1">
        <v>158.1</v>
      </c>
      <c r="G53" s="1">
        <v>26.7</v>
      </c>
      <c r="H53" s="1" t="s">
        <v>20</v>
      </c>
    </row>
    <row r="54" spans="1:8" x14ac:dyDescent="0.3">
      <c r="A54" s="1" t="s">
        <v>27</v>
      </c>
      <c r="B54" s="1" t="s">
        <v>23</v>
      </c>
      <c r="C54" s="1" t="s">
        <v>25</v>
      </c>
      <c r="D54" s="1">
        <v>46</v>
      </c>
      <c r="E54" s="1">
        <v>0.627</v>
      </c>
      <c r="F54" s="1">
        <v>157.91999999999999</v>
      </c>
      <c r="G54" s="1">
        <v>26.9</v>
      </c>
      <c r="H54" s="1" t="s">
        <v>20</v>
      </c>
    </row>
    <row r="55" spans="1:8" x14ac:dyDescent="0.3">
      <c r="A55" s="1" t="s">
        <v>27</v>
      </c>
      <c r="B55" s="1" t="s">
        <v>23</v>
      </c>
      <c r="C55" s="1" t="s">
        <v>22</v>
      </c>
      <c r="D55" s="1">
        <v>46</v>
      </c>
      <c r="E55" s="1">
        <v>0.622</v>
      </c>
      <c r="F55" s="1">
        <v>157.87</v>
      </c>
      <c r="G55" s="1">
        <v>27.2</v>
      </c>
      <c r="H55" s="1" t="s">
        <v>20</v>
      </c>
    </row>
    <row r="56" spans="1:8" x14ac:dyDescent="0.3">
      <c r="A56" s="1" t="s">
        <v>27</v>
      </c>
      <c r="B56" s="1" t="s">
        <v>23</v>
      </c>
      <c r="C56" s="1" t="s">
        <v>24</v>
      </c>
      <c r="D56" s="1">
        <v>45.9</v>
      </c>
      <c r="E56" s="1">
        <v>0.629</v>
      </c>
      <c r="F56" s="1">
        <v>158.30000000000001</v>
      </c>
      <c r="G56" s="1">
        <v>27.4</v>
      </c>
      <c r="H56" s="1" t="s">
        <v>20</v>
      </c>
    </row>
    <row r="57" spans="1:8" x14ac:dyDescent="0.3">
      <c r="A57" s="1" t="s">
        <v>27</v>
      </c>
      <c r="B57" s="1" t="s">
        <v>23</v>
      </c>
      <c r="C57" s="1" t="s">
        <v>22</v>
      </c>
      <c r="D57" s="1">
        <v>45.7</v>
      </c>
      <c r="E57" s="1">
        <v>0.629</v>
      </c>
      <c r="F57" s="1">
        <v>158.24</v>
      </c>
      <c r="G57" s="1">
        <v>27.7</v>
      </c>
      <c r="H57" s="1" t="s">
        <v>20</v>
      </c>
    </row>
    <row r="58" spans="1:8" x14ac:dyDescent="0.3">
      <c r="A58" s="1" t="s">
        <v>27</v>
      </c>
      <c r="B58" s="1" t="s">
        <v>23</v>
      </c>
      <c r="C58" s="1" t="s">
        <v>24</v>
      </c>
      <c r="D58" s="1">
        <v>45.7</v>
      </c>
      <c r="E58" s="1">
        <v>0.624</v>
      </c>
      <c r="F58" s="1">
        <v>158.78</v>
      </c>
      <c r="G58" s="1">
        <v>28.2</v>
      </c>
      <c r="H58" s="1" t="s">
        <v>22</v>
      </c>
    </row>
    <row r="59" spans="1:8" x14ac:dyDescent="0.3">
      <c r="A59" s="1" t="s">
        <v>27</v>
      </c>
      <c r="B59" s="1" t="s">
        <v>23</v>
      </c>
      <c r="C59" s="1" t="s">
        <v>22</v>
      </c>
      <c r="D59" s="1">
        <v>45.6</v>
      </c>
      <c r="E59" s="1">
        <v>0.61099999999999999</v>
      </c>
      <c r="F59" s="1">
        <v>158.63999999999999</v>
      </c>
      <c r="G59" s="1">
        <v>28.1</v>
      </c>
      <c r="H59" s="1" t="s">
        <v>22</v>
      </c>
    </row>
    <row r="60" spans="1:8" x14ac:dyDescent="0.3">
      <c r="A60" s="1" t="s">
        <v>27</v>
      </c>
      <c r="B60" s="1" t="s">
        <v>23</v>
      </c>
      <c r="C60" s="1" t="s">
        <v>22</v>
      </c>
      <c r="D60" s="1">
        <v>45.4</v>
      </c>
      <c r="E60" s="1">
        <v>0.60399999999999998</v>
      </c>
      <c r="F60" s="1">
        <v>158.65</v>
      </c>
      <c r="G60" s="1">
        <v>27.8</v>
      </c>
      <c r="H60" s="1" t="s">
        <v>22</v>
      </c>
    </row>
    <row r="61" spans="1:8" x14ac:dyDescent="0.3">
      <c r="A61" s="1" t="s">
        <v>27</v>
      </c>
      <c r="B61" s="1" t="s">
        <v>23</v>
      </c>
      <c r="C61" s="1" t="s">
        <v>24</v>
      </c>
      <c r="D61" s="1">
        <v>45</v>
      </c>
      <c r="E61" s="1">
        <v>0.61399999999999999</v>
      </c>
      <c r="F61" s="1">
        <v>158.22</v>
      </c>
      <c r="G61" s="1">
        <v>27.8</v>
      </c>
      <c r="H61" s="1" t="s">
        <v>20</v>
      </c>
    </row>
    <row r="62" spans="1:8" x14ac:dyDescent="0.3">
      <c r="A62" s="1" t="s">
        <v>27</v>
      </c>
      <c r="B62" s="1" t="s">
        <v>23</v>
      </c>
      <c r="C62" s="1" t="s">
        <v>22</v>
      </c>
      <c r="D62" s="1">
        <v>44.8</v>
      </c>
      <c r="E62" s="1">
        <v>0.61399999999999999</v>
      </c>
      <c r="F62" s="1">
        <v>158.12</v>
      </c>
      <c r="G62" s="1">
        <v>27.7</v>
      </c>
      <c r="H62" s="1" t="s">
        <v>20</v>
      </c>
    </row>
    <row r="63" spans="1:8" x14ac:dyDescent="0.3">
      <c r="A63" s="1" t="s">
        <v>27</v>
      </c>
      <c r="B63" s="1" t="s">
        <v>23</v>
      </c>
      <c r="C63" s="1" t="s">
        <v>24</v>
      </c>
      <c r="D63" s="1">
        <v>44.8</v>
      </c>
      <c r="E63" s="1">
        <v>0.61599999999999999</v>
      </c>
      <c r="F63" s="1">
        <v>158.55000000000001</v>
      </c>
      <c r="G63" s="1">
        <v>27.5</v>
      </c>
      <c r="H63" s="1" t="s">
        <v>20</v>
      </c>
    </row>
    <row r="64" spans="1:8" x14ac:dyDescent="0.3">
      <c r="A64" s="1" t="s">
        <v>27</v>
      </c>
      <c r="B64" s="1" t="s">
        <v>23</v>
      </c>
      <c r="C64" s="1" t="s">
        <v>22</v>
      </c>
      <c r="D64" s="1">
        <v>44.6</v>
      </c>
      <c r="E64" s="1">
        <v>0.61299999999999999</v>
      </c>
      <c r="F64" s="1">
        <v>158.47999999999999</v>
      </c>
      <c r="G64" s="1">
        <v>27.8</v>
      </c>
      <c r="H64" s="1" t="s">
        <v>20</v>
      </c>
    </row>
    <row r="65" spans="1:8" x14ac:dyDescent="0.3">
      <c r="A65" s="1" t="s">
        <v>27</v>
      </c>
      <c r="B65" s="1" t="s">
        <v>23</v>
      </c>
      <c r="C65" s="1" t="s">
        <v>26</v>
      </c>
      <c r="D65" s="1">
        <v>44.6</v>
      </c>
      <c r="E65" s="1">
        <v>0.60899999999999999</v>
      </c>
      <c r="F65" s="1">
        <v>159.12</v>
      </c>
      <c r="G65" s="1">
        <v>27.6</v>
      </c>
      <c r="H65" s="1" t="s">
        <v>22</v>
      </c>
    </row>
    <row r="66" spans="1:8" x14ac:dyDescent="0.3">
      <c r="A66" s="1" t="s">
        <v>27</v>
      </c>
      <c r="B66" s="1" t="s">
        <v>23</v>
      </c>
      <c r="C66" s="1" t="s">
        <v>25</v>
      </c>
      <c r="D66" s="1">
        <v>44.6</v>
      </c>
      <c r="E66" s="1">
        <v>0.61199999999999999</v>
      </c>
      <c r="F66" s="1">
        <v>158.96</v>
      </c>
      <c r="G66" s="1">
        <v>27.6</v>
      </c>
      <c r="H66" s="1" t="s">
        <v>22</v>
      </c>
    </row>
    <row r="67" spans="1:8" x14ac:dyDescent="0.3">
      <c r="A67" s="1" t="s">
        <v>27</v>
      </c>
      <c r="B67" s="1" t="s">
        <v>23</v>
      </c>
      <c r="C67" s="1" t="s">
        <v>22</v>
      </c>
      <c r="D67" s="1">
        <v>44.4</v>
      </c>
      <c r="E67" s="1">
        <v>0.60299999999999998</v>
      </c>
      <c r="F67" s="1">
        <v>158.93</v>
      </c>
      <c r="G67" s="1">
        <v>27.6</v>
      </c>
      <c r="H67" s="1" t="s">
        <v>22</v>
      </c>
    </row>
    <row r="68" spans="1:8" x14ac:dyDescent="0.3">
      <c r="A68" s="1" t="s">
        <v>27</v>
      </c>
      <c r="B68" s="1" t="s">
        <v>21</v>
      </c>
      <c r="C68" s="1" t="s">
        <v>24</v>
      </c>
      <c r="D68" s="1">
        <v>44.1</v>
      </c>
      <c r="E68" s="1">
        <v>0.623</v>
      </c>
      <c r="F68" s="1">
        <v>158.44999999999999</v>
      </c>
      <c r="G68" s="1">
        <v>27.4</v>
      </c>
      <c r="H68" s="1" t="s">
        <v>20</v>
      </c>
    </row>
    <row r="69" spans="1:8" x14ac:dyDescent="0.3">
      <c r="A69" s="1" t="s">
        <v>27</v>
      </c>
      <c r="B69" s="1" t="s">
        <v>21</v>
      </c>
      <c r="C69" s="1" t="s">
        <v>22</v>
      </c>
      <c r="D69" s="1">
        <v>44.1</v>
      </c>
      <c r="E69" s="1">
        <v>0.61599999999999999</v>
      </c>
      <c r="F69" s="1">
        <v>158.38</v>
      </c>
      <c r="G69" s="1">
        <v>27.3</v>
      </c>
      <c r="H69" s="1" t="s">
        <v>20</v>
      </c>
    </row>
    <row r="70" spans="1:8" x14ac:dyDescent="0.3">
      <c r="A70" s="1" t="s">
        <v>27</v>
      </c>
      <c r="B70" s="1" t="s">
        <v>23</v>
      </c>
      <c r="C70" s="1" t="s">
        <v>26</v>
      </c>
      <c r="D70" s="1">
        <v>44.1</v>
      </c>
      <c r="E70" s="1">
        <v>0.61699999999999999</v>
      </c>
      <c r="F70" s="1">
        <v>158.85</v>
      </c>
      <c r="G70" s="1">
        <v>27.9</v>
      </c>
      <c r="H70" s="1" t="s">
        <v>20</v>
      </c>
    </row>
    <row r="71" spans="1:8" x14ac:dyDescent="0.3">
      <c r="A71" s="1" t="s">
        <v>27</v>
      </c>
      <c r="B71" s="1" t="s">
        <v>23</v>
      </c>
      <c r="C71" s="1" t="s">
        <v>25</v>
      </c>
      <c r="D71" s="1">
        <v>44.1</v>
      </c>
      <c r="E71" s="1">
        <v>0.61299999999999999</v>
      </c>
      <c r="F71" s="1">
        <v>158.69</v>
      </c>
      <c r="G71" s="1">
        <v>27.5</v>
      </c>
      <c r="H71" s="1" t="s">
        <v>20</v>
      </c>
    </row>
    <row r="72" spans="1:8" x14ac:dyDescent="0.3">
      <c r="A72" s="1" t="s">
        <v>27</v>
      </c>
      <c r="B72" s="1" t="s">
        <v>23</v>
      </c>
      <c r="C72" s="1" t="s">
        <v>26</v>
      </c>
      <c r="D72" s="1">
        <v>44.3</v>
      </c>
      <c r="E72" s="1">
        <v>0.61199999999999999</v>
      </c>
      <c r="F72" s="1">
        <v>159.22999999999999</v>
      </c>
      <c r="G72" s="1">
        <v>27.3</v>
      </c>
      <c r="H72" s="1" t="s">
        <v>22</v>
      </c>
    </row>
    <row r="73" spans="1:8" x14ac:dyDescent="0.3">
      <c r="A73" s="1" t="s">
        <v>27</v>
      </c>
      <c r="B73" s="1" t="s">
        <v>23</v>
      </c>
      <c r="C73" s="1" t="s">
        <v>25</v>
      </c>
      <c r="D73" s="1">
        <v>44.3</v>
      </c>
      <c r="E73" s="1">
        <v>0.60199999999999998</v>
      </c>
      <c r="F73" s="1">
        <v>159.05000000000001</v>
      </c>
      <c r="G73" s="1">
        <v>27.4</v>
      </c>
      <c r="H73" s="1" t="s">
        <v>22</v>
      </c>
    </row>
    <row r="74" spans="1:8" x14ac:dyDescent="0.3">
      <c r="A74" s="1" t="s">
        <v>27</v>
      </c>
      <c r="B74" s="1" t="s">
        <v>23</v>
      </c>
      <c r="C74" s="1" t="s">
        <v>22</v>
      </c>
      <c r="D74" s="1">
        <v>44.3</v>
      </c>
      <c r="E74" s="1">
        <v>0.60399999999999998</v>
      </c>
      <c r="F74" s="1">
        <v>158.99</v>
      </c>
      <c r="G74" s="1">
        <v>27.5</v>
      </c>
      <c r="H74" s="1" t="s">
        <v>22</v>
      </c>
    </row>
    <row r="75" spans="1:8" x14ac:dyDescent="0.3">
      <c r="A75" s="1" t="s">
        <v>27</v>
      </c>
      <c r="B75" s="1" t="s">
        <v>21</v>
      </c>
      <c r="C75" s="1" t="s">
        <v>24</v>
      </c>
      <c r="D75" s="1">
        <v>44</v>
      </c>
      <c r="E75" s="1">
        <v>0.60799999999999998</v>
      </c>
      <c r="F75" s="1">
        <v>158.52000000000001</v>
      </c>
      <c r="G75" s="1">
        <v>27.3</v>
      </c>
      <c r="H75" s="1" t="s">
        <v>20</v>
      </c>
    </row>
    <row r="76" spans="1:8" x14ac:dyDescent="0.3">
      <c r="A76" s="1" t="s">
        <v>27</v>
      </c>
      <c r="B76" s="1" t="s">
        <v>23</v>
      </c>
      <c r="C76" s="1" t="s">
        <v>25</v>
      </c>
      <c r="D76" s="1">
        <v>44</v>
      </c>
      <c r="E76" s="1">
        <v>0.61799999999999999</v>
      </c>
      <c r="F76" s="1">
        <v>158.46</v>
      </c>
      <c r="G76" s="1">
        <v>27.7</v>
      </c>
      <c r="H76" s="1" t="s">
        <v>20</v>
      </c>
    </row>
    <row r="77" spans="1:8" x14ac:dyDescent="0.3">
      <c r="A77" s="1" t="s">
        <v>27</v>
      </c>
      <c r="B77" s="1" t="s">
        <v>23</v>
      </c>
      <c r="C77" s="1" t="s">
        <v>26</v>
      </c>
      <c r="D77" s="1">
        <v>44.1</v>
      </c>
      <c r="E77" s="1">
        <v>0.60599999999999998</v>
      </c>
      <c r="F77" s="1">
        <v>158.85</v>
      </c>
      <c r="G77" s="1">
        <v>27.8</v>
      </c>
      <c r="H77" s="1" t="s">
        <v>20</v>
      </c>
    </row>
    <row r="78" spans="1:8" x14ac:dyDescent="0.3">
      <c r="A78" s="1" t="s">
        <v>27</v>
      </c>
      <c r="B78" s="1" t="s">
        <v>23</v>
      </c>
      <c r="C78" s="1" t="s">
        <v>25</v>
      </c>
      <c r="D78" s="1">
        <v>44.1</v>
      </c>
      <c r="E78" s="1">
        <v>0.60899999999999999</v>
      </c>
      <c r="F78" s="1">
        <v>158.69</v>
      </c>
      <c r="G78" s="1">
        <v>27.2</v>
      </c>
      <c r="H78" s="1" t="s">
        <v>20</v>
      </c>
    </row>
    <row r="79" spans="1:8" x14ac:dyDescent="0.3">
      <c r="A79" s="1" t="s">
        <v>27</v>
      </c>
      <c r="B79" s="1" t="s">
        <v>23</v>
      </c>
      <c r="C79" s="1" t="s">
        <v>26</v>
      </c>
      <c r="D79" s="1">
        <v>44.4</v>
      </c>
      <c r="E79" s="1">
        <v>0.61199999999999999</v>
      </c>
      <c r="F79" s="1">
        <v>159.24</v>
      </c>
      <c r="G79" s="1">
        <v>27.5</v>
      </c>
      <c r="H79" s="1" t="s">
        <v>22</v>
      </c>
    </row>
    <row r="80" spans="1:8" x14ac:dyDescent="0.3">
      <c r="A80" s="1" t="s">
        <v>27</v>
      </c>
      <c r="B80" s="1" t="s">
        <v>23</v>
      </c>
      <c r="C80" s="1" t="s">
        <v>25</v>
      </c>
      <c r="D80" s="1">
        <v>44.5</v>
      </c>
      <c r="E80" s="1">
        <v>0.60699999999999998</v>
      </c>
      <c r="F80" s="1">
        <v>159.07</v>
      </c>
      <c r="G80" s="1">
        <v>27.6</v>
      </c>
      <c r="H80" s="1" t="s">
        <v>22</v>
      </c>
    </row>
    <row r="81" spans="1:8" x14ac:dyDescent="0.3">
      <c r="A81" s="1" t="s">
        <v>27</v>
      </c>
      <c r="B81" s="1" t="s">
        <v>23</v>
      </c>
      <c r="C81" s="1" t="s">
        <v>22</v>
      </c>
      <c r="D81" s="1">
        <v>44.8</v>
      </c>
      <c r="E81" s="1">
        <v>0.59599999999999997</v>
      </c>
      <c r="F81" s="1">
        <v>158.96</v>
      </c>
      <c r="G81" s="1">
        <v>27.9</v>
      </c>
      <c r="H81" s="1" t="s">
        <v>22</v>
      </c>
    </row>
    <row r="82" spans="1:8" x14ac:dyDescent="0.3">
      <c r="A82" s="1" t="s">
        <v>22</v>
      </c>
      <c r="B82" s="1" t="s">
        <v>21</v>
      </c>
      <c r="C82" s="1" t="s">
        <v>22</v>
      </c>
      <c r="D82" s="1">
        <v>36.200000000000003</v>
      </c>
      <c r="E82" s="1">
        <v>0.56299999999999994</v>
      </c>
      <c r="F82" s="1">
        <v>160.72</v>
      </c>
      <c r="G82" s="1">
        <v>47.3</v>
      </c>
      <c r="H82" s="1" t="s">
        <v>22</v>
      </c>
    </row>
    <row r="83" spans="1:8" x14ac:dyDescent="0.3">
      <c r="A83" s="1" t="s">
        <v>22</v>
      </c>
      <c r="B83" s="1" t="s">
        <v>21</v>
      </c>
      <c r="C83" s="1" t="s">
        <v>22</v>
      </c>
      <c r="D83" s="1">
        <v>35.5</v>
      </c>
      <c r="E83" s="1">
        <v>0.56100000000000005</v>
      </c>
      <c r="F83" s="1">
        <v>160.97</v>
      </c>
      <c r="G83" s="1">
        <v>46.5</v>
      </c>
      <c r="H83" s="1" t="s">
        <v>22</v>
      </c>
    </row>
    <row r="84" spans="1:8" x14ac:dyDescent="0.3">
      <c r="A84" s="1" t="s">
        <v>22</v>
      </c>
      <c r="B84" s="1" t="s">
        <v>21</v>
      </c>
      <c r="C84" s="1" t="s">
        <v>22</v>
      </c>
      <c r="D84" s="1">
        <v>35.4</v>
      </c>
      <c r="E84" s="1">
        <v>0.56599999999999995</v>
      </c>
      <c r="F84" s="1">
        <v>161</v>
      </c>
      <c r="G84" s="1">
        <v>46.6</v>
      </c>
      <c r="H84" s="1" t="s">
        <v>22</v>
      </c>
    </row>
    <row r="85" spans="1:8" x14ac:dyDescent="0.3">
      <c r="A85" s="1" t="s">
        <v>22</v>
      </c>
      <c r="B85" s="1" t="s">
        <v>21</v>
      </c>
      <c r="C85" s="1" t="s">
        <v>22</v>
      </c>
      <c r="D85" s="1">
        <v>35.4</v>
      </c>
      <c r="E85" s="1">
        <v>0.56100000000000005</v>
      </c>
      <c r="F85" s="1">
        <v>161.04</v>
      </c>
      <c r="G85" s="1">
        <v>46.4</v>
      </c>
      <c r="H85" s="1" t="s">
        <v>22</v>
      </c>
    </row>
    <row r="86" spans="1:8" x14ac:dyDescent="0.3">
      <c r="A86" s="1" t="s">
        <v>22</v>
      </c>
      <c r="B86" s="1" t="s">
        <v>21</v>
      </c>
      <c r="C86" s="1" t="s">
        <v>22</v>
      </c>
      <c r="D86" s="1">
        <v>35.5</v>
      </c>
      <c r="E86" s="1">
        <v>0.56200000000000006</v>
      </c>
      <c r="F86" s="1">
        <v>161.01</v>
      </c>
      <c r="G86" s="1">
        <v>46.7</v>
      </c>
      <c r="H86" s="1" t="s">
        <v>22</v>
      </c>
    </row>
    <row r="87" spans="1:8" x14ac:dyDescent="0.3">
      <c r="A87" s="1" t="s">
        <v>22</v>
      </c>
      <c r="B87" s="1" t="s">
        <v>21</v>
      </c>
      <c r="C87" s="1" t="s">
        <v>22</v>
      </c>
      <c r="D87" s="1">
        <v>35.5</v>
      </c>
      <c r="E87" s="1">
        <v>0.56399999999999995</v>
      </c>
      <c r="F87" s="1">
        <v>161.03</v>
      </c>
      <c r="G87" s="1">
        <v>46.7</v>
      </c>
      <c r="H87" s="1" t="s">
        <v>22</v>
      </c>
    </row>
    <row r="88" spans="1:8" x14ac:dyDescent="0.3">
      <c r="A88" s="1" t="s">
        <v>22</v>
      </c>
      <c r="B88" s="1" t="s">
        <v>21</v>
      </c>
      <c r="C88" s="1" t="s">
        <v>22</v>
      </c>
      <c r="D88" s="1">
        <v>35.5</v>
      </c>
      <c r="E88" s="1">
        <v>0.56100000000000005</v>
      </c>
      <c r="F88" s="1">
        <v>161.03</v>
      </c>
      <c r="G88" s="1">
        <v>46.5</v>
      </c>
      <c r="H88" s="1" t="s">
        <v>22</v>
      </c>
    </row>
    <row r="89" spans="1:8" x14ac:dyDescent="0.3">
      <c r="A89" s="1" t="s">
        <v>22</v>
      </c>
      <c r="B89" s="1" t="s">
        <v>21</v>
      </c>
      <c r="C89" s="1" t="s">
        <v>22</v>
      </c>
      <c r="D89" s="1">
        <v>35.5</v>
      </c>
      <c r="E89" s="1">
        <v>0.55500000000000005</v>
      </c>
      <c r="F89" s="1">
        <v>161.04</v>
      </c>
      <c r="G89" s="1">
        <v>46.7</v>
      </c>
      <c r="H89" s="1" t="s">
        <v>22</v>
      </c>
    </row>
    <row r="90" spans="1:8" x14ac:dyDescent="0.3">
      <c r="A90" s="1" t="s">
        <v>22</v>
      </c>
      <c r="B90" s="1" t="s">
        <v>21</v>
      </c>
      <c r="C90" s="1" t="s">
        <v>22</v>
      </c>
      <c r="D90" s="1">
        <v>35.4</v>
      </c>
      <c r="E90" s="1">
        <v>0.55200000000000005</v>
      </c>
      <c r="F90" s="1">
        <v>161.04</v>
      </c>
      <c r="G90" s="1">
        <v>46.9</v>
      </c>
      <c r="H90" s="1" t="s">
        <v>22</v>
      </c>
    </row>
    <row r="91" spans="1:8" x14ac:dyDescent="0.3">
      <c r="A91" s="1" t="s">
        <v>22</v>
      </c>
      <c r="B91" s="1" t="s">
        <v>21</v>
      </c>
      <c r="C91" s="1" t="s">
        <v>22</v>
      </c>
      <c r="D91" s="1">
        <v>35.5</v>
      </c>
      <c r="E91" s="1">
        <v>0.55700000000000005</v>
      </c>
      <c r="F91" s="1">
        <v>161.04</v>
      </c>
      <c r="G91" s="1">
        <v>47.2</v>
      </c>
      <c r="H91" s="1" t="s">
        <v>22</v>
      </c>
    </row>
    <row r="92" spans="1:8" x14ac:dyDescent="0.3">
      <c r="A92" s="1" t="s">
        <v>22</v>
      </c>
      <c r="B92" s="1" t="s">
        <v>21</v>
      </c>
      <c r="C92" s="1" t="s">
        <v>22</v>
      </c>
      <c r="D92" s="1">
        <v>35.6</v>
      </c>
      <c r="E92" s="1">
        <v>0.55200000000000005</v>
      </c>
      <c r="F92" s="1">
        <v>161.16</v>
      </c>
      <c r="G92" s="1">
        <v>47.4</v>
      </c>
      <c r="H92" s="1" t="s">
        <v>22</v>
      </c>
    </row>
    <row r="93" spans="1:8" x14ac:dyDescent="0.3">
      <c r="A93" s="1" t="s">
        <v>22</v>
      </c>
      <c r="B93" s="1" t="s">
        <v>21</v>
      </c>
      <c r="C93" s="1" t="s">
        <v>24</v>
      </c>
      <c r="D93" s="1">
        <v>35.700000000000003</v>
      </c>
      <c r="E93" s="1">
        <v>0.55100000000000005</v>
      </c>
      <c r="F93" s="1">
        <v>160.56</v>
      </c>
      <c r="G93" s="1">
        <v>47.2</v>
      </c>
      <c r="H93" s="1" t="s">
        <v>20</v>
      </c>
    </row>
    <row r="94" spans="1:8" x14ac:dyDescent="0.3">
      <c r="A94" s="1" t="s">
        <v>22</v>
      </c>
      <c r="B94" s="1" t="s">
        <v>21</v>
      </c>
      <c r="C94" s="1" t="s">
        <v>25</v>
      </c>
      <c r="D94" s="1">
        <v>35.700000000000003</v>
      </c>
      <c r="E94" s="1">
        <v>0.53900000000000003</v>
      </c>
      <c r="F94" s="1">
        <v>160.49</v>
      </c>
      <c r="G94" s="1">
        <v>47.8</v>
      </c>
      <c r="H94" s="1" t="s">
        <v>20</v>
      </c>
    </row>
    <row r="95" spans="1:8" x14ac:dyDescent="0.3">
      <c r="A95" s="1" t="s">
        <v>22</v>
      </c>
      <c r="B95" s="1" t="s">
        <v>21</v>
      </c>
      <c r="C95" s="1" t="s">
        <v>26</v>
      </c>
      <c r="D95" s="1">
        <v>35.9</v>
      </c>
      <c r="E95" s="1">
        <v>0.53900000000000003</v>
      </c>
      <c r="F95" s="1">
        <v>160.91</v>
      </c>
      <c r="G95" s="1">
        <v>47.3</v>
      </c>
      <c r="H95" s="1" t="s">
        <v>20</v>
      </c>
    </row>
    <row r="96" spans="1:8" x14ac:dyDescent="0.3">
      <c r="A96" s="1" t="s">
        <v>22</v>
      </c>
      <c r="B96" s="1" t="s">
        <v>21</v>
      </c>
      <c r="C96" s="1" t="s">
        <v>25</v>
      </c>
      <c r="D96" s="1">
        <v>35.9</v>
      </c>
      <c r="E96" s="1">
        <v>0.54200000000000004</v>
      </c>
      <c r="F96" s="1">
        <v>160.69</v>
      </c>
      <c r="G96" s="1">
        <v>47.4</v>
      </c>
      <c r="H96" s="1" t="s">
        <v>20</v>
      </c>
    </row>
    <row r="97" spans="1:8" x14ac:dyDescent="0.3">
      <c r="A97" s="1" t="s">
        <v>22</v>
      </c>
      <c r="B97" s="1" t="s">
        <v>21</v>
      </c>
      <c r="C97" s="1" t="s">
        <v>26</v>
      </c>
      <c r="D97" s="1">
        <v>36.1</v>
      </c>
      <c r="E97" s="1">
        <v>0.55100000000000005</v>
      </c>
      <c r="F97" s="1">
        <v>161.27000000000001</v>
      </c>
      <c r="G97" s="1">
        <v>47.5</v>
      </c>
      <c r="H97" s="1" t="s">
        <v>22</v>
      </c>
    </row>
    <row r="98" spans="1:8" x14ac:dyDescent="0.3">
      <c r="A98" s="1" t="s">
        <v>22</v>
      </c>
      <c r="B98" s="1" t="s">
        <v>21</v>
      </c>
      <c r="C98" s="1" t="s">
        <v>25</v>
      </c>
      <c r="D98" s="1">
        <v>36.200000000000003</v>
      </c>
      <c r="E98" s="1">
        <v>0.54800000000000004</v>
      </c>
      <c r="F98" s="1">
        <v>161.08000000000001</v>
      </c>
      <c r="G98" s="1">
        <v>47.5</v>
      </c>
      <c r="H98" s="1" t="s">
        <v>22</v>
      </c>
    </row>
    <row r="99" spans="1:8" x14ac:dyDescent="0.3">
      <c r="A99" s="1" t="s">
        <v>22</v>
      </c>
      <c r="B99" s="1" t="s">
        <v>21</v>
      </c>
      <c r="C99" s="1" t="s">
        <v>22</v>
      </c>
      <c r="D99" s="1">
        <v>36.299999999999997</v>
      </c>
      <c r="E99" s="1">
        <v>0.54900000000000004</v>
      </c>
      <c r="F99" s="1">
        <v>161.01</v>
      </c>
      <c r="G99" s="1">
        <v>47.3</v>
      </c>
      <c r="H99" s="1" t="s">
        <v>22</v>
      </c>
    </row>
    <row r="100" spans="1:8" x14ac:dyDescent="0.3">
      <c r="A100" s="1" t="s">
        <v>22</v>
      </c>
      <c r="B100" s="1" t="s">
        <v>21</v>
      </c>
      <c r="C100" s="1" t="s">
        <v>26</v>
      </c>
      <c r="D100" s="1">
        <v>36.200000000000003</v>
      </c>
      <c r="E100" s="1">
        <v>0.54700000000000004</v>
      </c>
      <c r="F100" s="1">
        <v>160.44999999999999</v>
      </c>
      <c r="G100" s="1">
        <v>47</v>
      </c>
      <c r="H100" s="1" t="s">
        <v>20</v>
      </c>
    </row>
    <row r="101" spans="1:8" x14ac:dyDescent="0.3">
      <c r="A101" s="1" t="s">
        <v>22</v>
      </c>
      <c r="B101" s="1" t="s">
        <v>21</v>
      </c>
      <c r="C101" s="1" t="s">
        <v>25</v>
      </c>
      <c r="D101" s="1">
        <v>36.4</v>
      </c>
      <c r="E101" s="1">
        <v>0.54600000000000004</v>
      </c>
      <c r="F101" s="1">
        <v>160.22</v>
      </c>
      <c r="G101" s="1">
        <v>46.7</v>
      </c>
      <c r="H101" s="1" t="s">
        <v>20</v>
      </c>
    </row>
    <row r="102" spans="1:8" x14ac:dyDescent="0.3">
      <c r="A102" s="1" t="s">
        <v>22</v>
      </c>
      <c r="B102" s="1" t="s">
        <v>21</v>
      </c>
      <c r="C102" s="1" t="s">
        <v>26</v>
      </c>
      <c r="D102" s="1">
        <v>36.4</v>
      </c>
      <c r="E102" s="1">
        <v>0.55200000000000005</v>
      </c>
      <c r="F102" s="1">
        <v>160.69999999999999</v>
      </c>
      <c r="G102" s="1">
        <v>46.3</v>
      </c>
      <c r="H102" s="1" t="s">
        <v>20</v>
      </c>
    </row>
    <row r="103" spans="1:8" x14ac:dyDescent="0.3">
      <c r="A103" s="1" t="s">
        <v>22</v>
      </c>
      <c r="B103" s="1" t="s">
        <v>21</v>
      </c>
      <c r="C103" s="1" t="s">
        <v>25</v>
      </c>
      <c r="D103" s="1">
        <v>36.200000000000003</v>
      </c>
      <c r="E103" s="1">
        <v>0.55000000000000004</v>
      </c>
      <c r="F103" s="1">
        <v>160.61000000000001</v>
      </c>
      <c r="G103" s="1">
        <v>46.7</v>
      </c>
      <c r="H103" s="1" t="s">
        <v>20</v>
      </c>
    </row>
    <row r="104" spans="1:8" x14ac:dyDescent="0.3">
      <c r="A104" s="1" t="s">
        <v>22</v>
      </c>
      <c r="B104" s="1" t="s">
        <v>21</v>
      </c>
      <c r="C104" s="1" t="s">
        <v>22</v>
      </c>
      <c r="D104" s="1">
        <v>36.1</v>
      </c>
      <c r="E104" s="1">
        <v>0.53700000000000003</v>
      </c>
      <c r="F104" s="1">
        <v>160.96</v>
      </c>
      <c r="G104" s="1">
        <v>46.8</v>
      </c>
      <c r="H104" s="1" t="s">
        <v>22</v>
      </c>
    </row>
    <row r="105" spans="1:8" x14ac:dyDescent="0.3">
      <c r="A105" s="1" t="s">
        <v>22</v>
      </c>
      <c r="B105" s="1" t="s">
        <v>21</v>
      </c>
      <c r="C105" s="1" t="s">
        <v>24</v>
      </c>
      <c r="D105" s="1">
        <v>36.200000000000003</v>
      </c>
      <c r="E105" s="1">
        <v>0.53600000000000003</v>
      </c>
      <c r="F105" s="1">
        <v>161.11000000000001</v>
      </c>
      <c r="G105" s="1">
        <v>47.2</v>
      </c>
      <c r="H105" s="1" t="s">
        <v>22</v>
      </c>
    </row>
    <row r="106" spans="1:8" x14ac:dyDescent="0.3">
      <c r="A106" s="1" t="s">
        <v>22</v>
      </c>
      <c r="B106" s="1" t="s">
        <v>21</v>
      </c>
      <c r="C106" s="1" t="s">
        <v>22</v>
      </c>
      <c r="D106" s="1">
        <v>36.299999999999997</v>
      </c>
      <c r="E106" s="1">
        <v>0.53</v>
      </c>
      <c r="F106" s="1">
        <v>160.91999999999999</v>
      </c>
      <c r="G106" s="1">
        <v>47.4</v>
      </c>
      <c r="H106" s="1" t="s">
        <v>22</v>
      </c>
    </row>
    <row r="107" spans="1:8" x14ac:dyDescent="0.3">
      <c r="A107" s="1" t="s">
        <v>22</v>
      </c>
      <c r="B107" s="1" t="s">
        <v>21</v>
      </c>
      <c r="C107" s="1" t="s">
        <v>26</v>
      </c>
      <c r="D107" s="1">
        <v>36.200000000000003</v>
      </c>
      <c r="E107" s="1">
        <v>0.54</v>
      </c>
      <c r="F107" s="1">
        <v>160.47999999999999</v>
      </c>
      <c r="G107" s="1">
        <v>47</v>
      </c>
      <c r="H107" s="1" t="s">
        <v>20</v>
      </c>
    </row>
    <row r="108" spans="1:8" x14ac:dyDescent="0.3">
      <c r="A108" s="1" t="s">
        <v>22</v>
      </c>
      <c r="B108" s="1" t="s">
        <v>21</v>
      </c>
      <c r="C108" s="1" t="s">
        <v>25</v>
      </c>
      <c r="D108" s="1">
        <v>36.299999999999997</v>
      </c>
      <c r="E108" s="1">
        <v>0.53700000000000003</v>
      </c>
      <c r="F108" s="1">
        <v>160.31</v>
      </c>
      <c r="G108" s="1">
        <v>46.8</v>
      </c>
      <c r="H108" s="1" t="s">
        <v>20</v>
      </c>
    </row>
    <row r="109" spans="1:8" x14ac:dyDescent="0.3">
      <c r="A109" s="1" t="s">
        <v>22</v>
      </c>
      <c r="B109" s="1" t="s">
        <v>21</v>
      </c>
      <c r="C109" s="1" t="s">
        <v>22</v>
      </c>
      <c r="D109" s="1">
        <v>36.299999999999997</v>
      </c>
      <c r="E109" s="1">
        <v>0.54100000000000004</v>
      </c>
      <c r="F109" s="1">
        <v>160.47</v>
      </c>
      <c r="G109" s="1">
        <v>46.5</v>
      </c>
      <c r="H109" s="1" t="s">
        <v>20</v>
      </c>
    </row>
    <row r="110" spans="1:8" x14ac:dyDescent="0.3">
      <c r="A110" s="1" t="s">
        <v>22</v>
      </c>
      <c r="B110" s="1" t="s">
        <v>21</v>
      </c>
      <c r="C110" s="1" t="s">
        <v>24</v>
      </c>
      <c r="D110" s="1">
        <v>36.299999999999997</v>
      </c>
      <c r="E110" s="1">
        <v>0.54</v>
      </c>
      <c r="F110" s="1">
        <v>160.63999999999999</v>
      </c>
      <c r="G110" s="1">
        <v>46.9</v>
      </c>
      <c r="H110" s="1" t="s">
        <v>20</v>
      </c>
    </row>
    <row r="111" spans="1:8" x14ac:dyDescent="0.3">
      <c r="A111" s="1" t="s">
        <v>22</v>
      </c>
      <c r="B111" s="1" t="s">
        <v>21</v>
      </c>
      <c r="C111" s="1" t="s">
        <v>22</v>
      </c>
      <c r="D111" s="1">
        <v>36.200000000000003</v>
      </c>
      <c r="E111" s="1">
        <v>0.54900000000000004</v>
      </c>
      <c r="F111" s="1">
        <v>160.58000000000001</v>
      </c>
      <c r="G111" s="1">
        <v>46.8</v>
      </c>
      <c r="H111" s="1" t="s">
        <v>20</v>
      </c>
    </row>
    <row r="112" spans="1:8" x14ac:dyDescent="0.3">
      <c r="A112" s="1" t="s">
        <v>22</v>
      </c>
      <c r="B112" s="1" t="s">
        <v>21</v>
      </c>
      <c r="C112" s="1" t="s">
        <v>24</v>
      </c>
      <c r="D112" s="1">
        <v>36.200000000000003</v>
      </c>
      <c r="E112" s="1">
        <v>0.54400000000000004</v>
      </c>
      <c r="F112" s="1">
        <v>161.1</v>
      </c>
      <c r="G112" s="1">
        <v>47.1</v>
      </c>
      <c r="H112" s="1" t="s">
        <v>22</v>
      </c>
    </row>
    <row r="113" spans="1:8" x14ac:dyDescent="0.3">
      <c r="A113" s="1" t="s">
        <v>22</v>
      </c>
      <c r="B113" s="1" t="s">
        <v>21</v>
      </c>
      <c r="C113" s="1" t="s">
        <v>22</v>
      </c>
      <c r="D113" s="1">
        <v>36.1</v>
      </c>
      <c r="E113" s="1">
        <v>0.54600000000000004</v>
      </c>
      <c r="F113" s="1">
        <v>161</v>
      </c>
      <c r="G113" s="1">
        <v>47.1</v>
      </c>
      <c r="H113" s="1" t="s">
        <v>22</v>
      </c>
    </row>
    <row r="114" spans="1:8" x14ac:dyDescent="0.3">
      <c r="A114" s="1" t="s">
        <v>22</v>
      </c>
      <c r="B114" s="1" t="s">
        <v>21</v>
      </c>
      <c r="C114" s="1" t="s">
        <v>26</v>
      </c>
      <c r="D114" s="1">
        <v>36</v>
      </c>
      <c r="E114" s="1">
        <v>0.54500000000000004</v>
      </c>
      <c r="F114" s="1">
        <v>160.61000000000001</v>
      </c>
      <c r="G114" s="1">
        <v>47.5</v>
      </c>
      <c r="H114" s="1" t="s">
        <v>20</v>
      </c>
    </row>
    <row r="115" spans="1:8" x14ac:dyDescent="0.3">
      <c r="A115" s="1" t="s">
        <v>22</v>
      </c>
      <c r="B115" s="1" t="s">
        <v>21</v>
      </c>
      <c r="C115" s="1" t="s">
        <v>24</v>
      </c>
      <c r="D115" s="1">
        <v>35.9</v>
      </c>
      <c r="E115" s="1">
        <v>0.55000000000000004</v>
      </c>
      <c r="F115" s="1">
        <v>160.53</v>
      </c>
      <c r="G115" s="1">
        <v>46.9</v>
      </c>
      <c r="H115" s="1" t="s">
        <v>20</v>
      </c>
    </row>
    <row r="116" spans="1:8" x14ac:dyDescent="0.3">
      <c r="A116" s="1" t="s">
        <v>22</v>
      </c>
      <c r="B116" s="1" t="s">
        <v>21</v>
      </c>
      <c r="C116" s="1" t="s">
        <v>22</v>
      </c>
      <c r="D116" s="1">
        <v>35.799999999999997</v>
      </c>
      <c r="E116" s="1">
        <v>0.54100000000000004</v>
      </c>
      <c r="F116" s="1">
        <v>160.41</v>
      </c>
      <c r="G116" s="1">
        <v>47</v>
      </c>
      <c r="H116" s="1" t="s">
        <v>20</v>
      </c>
    </row>
    <row r="117" spans="1:8" x14ac:dyDescent="0.3">
      <c r="A117" s="1" t="s">
        <v>22</v>
      </c>
      <c r="B117" s="1" t="s">
        <v>21</v>
      </c>
      <c r="C117" s="1" t="s">
        <v>24</v>
      </c>
      <c r="D117" s="1">
        <v>35.700000000000003</v>
      </c>
      <c r="E117" s="1">
        <v>0.54600000000000004</v>
      </c>
      <c r="F117" s="1">
        <v>160.81</v>
      </c>
      <c r="G117" s="1">
        <v>47</v>
      </c>
      <c r="H117" s="1" t="s">
        <v>20</v>
      </c>
    </row>
    <row r="118" spans="1:8" x14ac:dyDescent="0.3">
      <c r="A118" s="1" t="s">
        <v>22</v>
      </c>
      <c r="B118" s="1" t="s">
        <v>21</v>
      </c>
      <c r="C118" s="1" t="s">
        <v>22</v>
      </c>
      <c r="D118" s="1">
        <v>35.6</v>
      </c>
      <c r="E118" s="1">
        <v>0.54400000000000004</v>
      </c>
      <c r="F118" s="1">
        <v>160.68</v>
      </c>
      <c r="G118" s="1">
        <v>46.8</v>
      </c>
      <c r="H118" s="1" t="s">
        <v>20</v>
      </c>
    </row>
    <row r="119" spans="1:8" x14ac:dyDescent="0.3">
      <c r="A119" s="1" t="s">
        <v>22</v>
      </c>
      <c r="B119" s="1" t="s">
        <v>21</v>
      </c>
      <c r="C119" s="1" t="s">
        <v>24</v>
      </c>
      <c r="D119" s="1">
        <v>35.5</v>
      </c>
      <c r="E119" s="1">
        <v>0.55800000000000005</v>
      </c>
      <c r="F119" s="1">
        <v>161.32</v>
      </c>
      <c r="G119" s="1">
        <v>46.6</v>
      </c>
      <c r="H119" s="1" t="s">
        <v>22</v>
      </c>
    </row>
    <row r="120" spans="1:8" x14ac:dyDescent="0.3">
      <c r="A120" s="1" t="s">
        <v>22</v>
      </c>
      <c r="B120" s="1" t="s">
        <v>21</v>
      </c>
      <c r="C120" s="1" t="s">
        <v>25</v>
      </c>
      <c r="D120" s="1">
        <v>35.4</v>
      </c>
      <c r="E120" s="1">
        <v>0.54700000000000004</v>
      </c>
      <c r="F120" s="1">
        <v>161.26</v>
      </c>
      <c r="G120" s="1">
        <v>46.6</v>
      </c>
      <c r="H120" s="1" t="s">
        <v>22</v>
      </c>
    </row>
    <row r="121" spans="1:8" x14ac:dyDescent="0.3">
      <c r="A121" s="1" t="s">
        <v>22</v>
      </c>
      <c r="B121" s="1" t="s">
        <v>21</v>
      </c>
      <c r="C121" s="1" t="s">
        <v>22</v>
      </c>
      <c r="D121" s="1">
        <v>35.299999999999997</v>
      </c>
      <c r="E121" s="1">
        <v>0.54700000000000004</v>
      </c>
      <c r="F121" s="1">
        <v>161.22</v>
      </c>
      <c r="G121" s="1">
        <v>46.6</v>
      </c>
      <c r="H121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3CA5B-97DA-4DE5-AE15-294B6FCFD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Sheet7</vt:lpstr>
      <vt:lpstr>14_hydraulic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David_Desktop</dc:creator>
  <cp:lastModifiedBy>광우 김</cp:lastModifiedBy>
  <dcterms:created xsi:type="dcterms:W3CDTF">2020-08-01T10:53:48Z</dcterms:created>
  <dcterms:modified xsi:type="dcterms:W3CDTF">2026-10-16T07:10:27Z</dcterms:modified>
</cp:coreProperties>
</file>